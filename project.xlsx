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sant\Downloads\"/>
    </mc:Choice>
  </mc:AlternateContent>
  <xr:revisionPtr revIDLastSave="0" documentId="13_ncr:1_{941280A5-D110-48CC-ADF5-85DBBC79B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s" sheetId="4" r:id="rId1"/>
    <sheet name="Cell referencing" sheetId="1" r:id="rId2"/>
    <sheet name="Sheet5" sheetId="5" r:id="rId3"/>
    <sheet name="Sheet6" sheetId="6" r:id="rId4"/>
    <sheet name="Sheet2" sheetId="2" r:id="rId5"/>
  </sheets>
  <definedNames>
    <definedName name="_xlnm._FilterDatabase" localSheetId="4" hidden="1">Sheet2!$A$1:$X$51</definedName>
    <definedName name="_xlchart.v1.0" hidden="1">Dashboards!$I$1048554:$I$1048559</definedName>
    <definedName name="_xlchart.v1.1" hidden="1">Dashboards!$J$1048553</definedName>
    <definedName name="_xlchart.v1.10" hidden="1">Dashboards!$K$1048553</definedName>
    <definedName name="_xlchart.v1.11" hidden="1">Dashboards!$K$1048554:$K$1048559</definedName>
    <definedName name="_xlchart.v1.12" hidden="1">Dashboards!$L$1048553</definedName>
    <definedName name="_xlchart.v1.13" hidden="1">Dashboards!$L$1048554:$L$1048559</definedName>
    <definedName name="_xlchart.v1.14" hidden="1">Dashboards!$I$1048554:$I$1048559</definedName>
    <definedName name="_xlchart.v1.15" hidden="1">Dashboards!$J$1048553</definedName>
    <definedName name="_xlchart.v1.16" hidden="1">Dashboards!$J$1048554:$J$1048559</definedName>
    <definedName name="_xlchart.v1.17" hidden="1">Dashboards!$K$1048553</definedName>
    <definedName name="_xlchart.v1.18" hidden="1">Dashboards!$K$1048554:$K$1048559</definedName>
    <definedName name="_xlchart.v1.19" hidden="1">Dashboards!$L$1048553</definedName>
    <definedName name="_xlchart.v1.2" hidden="1">Dashboards!$J$1048554:$J$1048559</definedName>
    <definedName name="_xlchart.v1.20" hidden="1">Dashboards!$L$1048554:$L$1048559</definedName>
    <definedName name="_xlchart.v1.3" hidden="1">Dashboards!$K$1048553</definedName>
    <definedName name="_xlchart.v1.4" hidden="1">Dashboards!$K$1048554:$K$1048559</definedName>
    <definedName name="_xlchart.v1.5" hidden="1">Dashboards!$L$1048553</definedName>
    <definedName name="_xlchart.v1.6" hidden="1">Dashboards!$L$1048554:$L$1048559</definedName>
    <definedName name="_xlchart.v1.7" hidden="1">Dashboards!$I$1048554:$I$1048559</definedName>
    <definedName name="_xlchart.v1.8" hidden="1">Dashboards!$J$1048553</definedName>
    <definedName name="_xlchart.v1.9" hidden="1">Dashboards!$J$1048554:$J$1048559</definedName>
  </definedNames>
  <calcPr calcId="191028"/>
  <pivotCaches>
    <pivotCache cacheId="15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6" i="2" l="1"/>
  <c r="P56" i="2"/>
  <c r="N56" i="2"/>
  <c r="R56" i="2"/>
  <c r="O56" i="2"/>
  <c r="M56" i="2"/>
  <c r="L56" i="2"/>
  <c r="K56" i="2"/>
  <c r="J56" i="2"/>
  <c r="I60" i="2"/>
  <c r="I59" i="2"/>
  <c r="I58" i="2"/>
  <c r="I57" i="2"/>
  <c r="X3" i="2"/>
  <c r="X4" i="2"/>
  <c r="X5" i="2"/>
  <c r="X6" i="2"/>
  <c r="X2" i="2"/>
  <c r="K66" i="2" s="1"/>
  <c r="O1048557" i="4"/>
  <c r="O1048556" i="4"/>
  <c r="O1048555" i="4"/>
  <c r="O1048554" i="4"/>
  <c r="E67" i="2"/>
  <c r="E68" i="2"/>
  <c r="E69" i="2"/>
  <c r="E70" i="2"/>
  <c r="E66" i="2"/>
  <c r="C67" i="2"/>
  <c r="C68" i="2"/>
  <c r="C69" i="2"/>
  <c r="C70" i="2"/>
  <c r="C66" i="2"/>
  <c r="D68" i="2"/>
  <c r="D69" i="2"/>
  <c r="D70" i="2"/>
  <c r="D67" i="2"/>
  <c r="D66" i="2"/>
  <c r="F60" i="2"/>
  <c r="F61" i="2"/>
  <c r="F57" i="2"/>
  <c r="F58" i="2"/>
  <c r="F59" i="2"/>
  <c r="F56" i="2"/>
  <c r="I61" i="2" s="1"/>
  <c r="E56" i="2"/>
  <c r="E58" i="2"/>
  <c r="E59" i="2"/>
  <c r="E60" i="2"/>
  <c r="E57" i="2"/>
  <c r="D59" i="2"/>
  <c r="D60" i="2"/>
  <c r="D58" i="2"/>
  <c r="D57" i="2"/>
  <c r="D56" i="2"/>
  <c r="C60" i="2"/>
  <c r="C59" i="2"/>
  <c r="C58" i="2"/>
  <c r="C57" i="2"/>
  <c r="C56" i="2"/>
  <c r="A11" i="1" a="1"/>
  <c r="G4" i="1"/>
  <c r="G3" i="1"/>
  <c r="X25" i="2" l="1"/>
  <c r="X11" i="2"/>
  <c r="X12" i="2"/>
  <c r="X13" i="2"/>
  <c r="X26" i="2"/>
  <c r="X28" i="2"/>
  <c r="X30" i="2"/>
  <c r="X32" i="2"/>
  <c r="X33" i="2"/>
  <c r="X35" i="2"/>
  <c r="X9" i="2"/>
  <c r="X10" i="2"/>
  <c r="X27" i="2"/>
  <c r="X29" i="2"/>
  <c r="X31" i="2"/>
  <c r="X34" i="2"/>
  <c r="X14" i="2"/>
  <c r="X15" i="2"/>
  <c r="X24" i="2"/>
  <c r="X7" i="2"/>
  <c r="X8" i="2"/>
  <c r="X16" i="2"/>
  <c r="X17" i="2"/>
  <c r="X18" i="2"/>
  <c r="X19" i="2"/>
  <c r="X20" i="2"/>
  <c r="X21" i="2"/>
  <c r="X22" i="2"/>
  <c r="X23" i="2"/>
  <c r="D71" i="2"/>
  <c r="D72" i="2" s="1"/>
  <c r="E71" i="2"/>
  <c r="E72" i="2" s="1"/>
  <c r="C71" i="2"/>
  <c r="C72" i="2" s="1"/>
  <c r="D61" i="2"/>
  <c r="D62" i="2" s="1"/>
  <c r="F62" i="2"/>
  <c r="E61" i="2"/>
  <c r="E62" i="2" s="1"/>
  <c r="C61" i="2"/>
  <c r="C6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<sst xmlns="http://schemas.openxmlformats.org/spreadsheetml/2006/main" count="830" uniqueCount="338">
  <si>
    <t>Trip planner</t>
  </si>
  <si>
    <t>Destination</t>
  </si>
  <si>
    <t>Departure Date</t>
  </si>
  <si>
    <t>Return Date</t>
  </si>
  <si>
    <t>Hotel Name</t>
  </si>
  <si>
    <t>Flight Cost</t>
  </si>
  <si>
    <t>Total budget</t>
  </si>
  <si>
    <t>Remaining Budget</t>
  </si>
  <si>
    <t>Goa</t>
  </si>
  <si>
    <t>Manali</t>
  </si>
  <si>
    <t>Hill top</t>
  </si>
  <si>
    <t>Marketing</t>
  </si>
  <si>
    <t>Sales</t>
  </si>
  <si>
    <t>Employee_ID</t>
  </si>
  <si>
    <t>First_Name</t>
  </si>
  <si>
    <t>Last_Name</t>
  </si>
  <si>
    <t>Full_Name</t>
  </si>
  <si>
    <t>Email</t>
  </si>
  <si>
    <t>Department</t>
  </si>
  <si>
    <t>Job_Title</t>
  </si>
  <si>
    <t>City</t>
  </si>
  <si>
    <t>State</t>
  </si>
  <si>
    <t>Work_Mode</t>
  </si>
  <si>
    <t>Employment_Type</t>
  </si>
  <si>
    <t>Joining_Year</t>
  </si>
  <si>
    <t>Experience_Years</t>
  </si>
  <si>
    <t>Annual_Salary</t>
  </si>
  <si>
    <t>Bonus_Percentage</t>
  </si>
  <si>
    <t>Bonus_Amount</t>
  </si>
  <si>
    <t>Performance_Score</t>
  </si>
  <si>
    <t>Performance_Rating</t>
  </si>
  <si>
    <t>Status</t>
  </si>
  <si>
    <t>Education</t>
  </si>
  <si>
    <t>Skills</t>
  </si>
  <si>
    <t>Projects_Count</t>
  </si>
  <si>
    <t>Leave_Balance_Days</t>
  </si>
  <si>
    <t>Arun</t>
  </si>
  <si>
    <t>Kumar</t>
  </si>
  <si>
    <t>arun.kumar@example.com</t>
  </si>
  <si>
    <t>IT</t>
  </si>
  <si>
    <t>Chennai</t>
  </si>
  <si>
    <t>Hybrid</t>
  </si>
  <si>
    <t>Full-Time</t>
  </si>
  <si>
    <t>Good</t>
  </si>
  <si>
    <t>Active</t>
  </si>
  <si>
    <t>B.Tech</t>
  </si>
  <si>
    <t>Python;SQL;Cloud;Git;Spark</t>
  </si>
  <si>
    <t>Priya</t>
  </si>
  <si>
    <t>Sharma</t>
  </si>
  <si>
    <t>priya.sharma@example.com</t>
  </si>
  <si>
    <t>HR</t>
  </si>
  <si>
    <t>Bengaluru</t>
  </si>
  <si>
    <t>Karnataka</t>
  </si>
  <si>
    <t>Excellent</t>
  </si>
  <si>
    <t>MBA</t>
  </si>
  <si>
    <t>Recruitment;Excel;HRIS;Communication</t>
  </si>
  <si>
    <t>David</t>
  </si>
  <si>
    <t>Wilson</t>
  </si>
  <si>
    <t>david.wilson@example.com</t>
  </si>
  <si>
    <t>Remote</t>
  </si>
  <si>
    <t>Meena</t>
  </si>
  <si>
    <t>Ravi</t>
  </si>
  <si>
    <t>meena.ravi@example.com</t>
  </si>
  <si>
    <t>Finance</t>
  </si>
  <si>
    <t>Hyderabad</t>
  </si>
  <si>
    <t>Telangana</t>
  </si>
  <si>
    <t>Office</t>
  </si>
  <si>
    <t>Average</t>
  </si>
  <si>
    <t>M.Com</t>
  </si>
  <si>
    <t>Rahul</t>
  </si>
  <si>
    <t>Verma</t>
  </si>
  <si>
    <t>rahul.verma@example.com</t>
  </si>
  <si>
    <t>Sneha</t>
  </si>
  <si>
    <t>Iyer</t>
  </si>
  <si>
    <t>sneha.iyer@example.com</t>
  </si>
  <si>
    <t>Kiran</t>
  </si>
  <si>
    <t>Reddy</t>
  </si>
  <si>
    <t>kiran.reddy@example.com</t>
  </si>
  <si>
    <t>CRM;Negotiation;Excel;Communication</t>
  </si>
  <si>
    <t>Anitha</t>
  </si>
  <si>
    <t>Joseph</t>
  </si>
  <si>
    <t>Vijay</t>
  </si>
  <si>
    <t>vijay.kumar@example.com</t>
  </si>
  <si>
    <t>Divya</t>
  </si>
  <si>
    <t>Nair</t>
  </si>
  <si>
    <t>divya.nair@example.com</t>
  </si>
  <si>
    <t>Recruiter</t>
  </si>
  <si>
    <t>Kochi</t>
  </si>
  <si>
    <t>Kerala</t>
  </si>
  <si>
    <t>John</t>
  </si>
  <si>
    <t>Mathew</t>
  </si>
  <si>
    <t>john.mathew@example.com</t>
  </si>
  <si>
    <t>Pune</t>
  </si>
  <si>
    <t>Maharashtra</t>
  </si>
  <si>
    <t>Lakshmi</t>
  </si>
  <si>
    <t>Devi</t>
  </si>
  <si>
    <t>lakshmi.devi@example.com</t>
  </si>
  <si>
    <t>Suresh</t>
  </si>
  <si>
    <t>Babu</t>
  </si>
  <si>
    <t>suresh.babu@example.com</t>
  </si>
  <si>
    <t>Operations</t>
  </si>
  <si>
    <t>Nandhini</t>
  </si>
  <si>
    <t>Raj</t>
  </si>
  <si>
    <t>nandhini.raj@example.com</t>
  </si>
  <si>
    <t>Prakash</t>
  </si>
  <si>
    <t>ravi.prakash@example.com</t>
  </si>
  <si>
    <t>Asha</t>
  </si>
  <si>
    <t>Menon</t>
  </si>
  <si>
    <t>asha.menon@example.com</t>
  </si>
  <si>
    <t>Manoj</t>
  </si>
  <si>
    <t>Singh</t>
  </si>
  <si>
    <t>manoj.singh@example.com</t>
  </si>
  <si>
    <t>Delhi</t>
  </si>
  <si>
    <t>Deepa</t>
  </si>
  <si>
    <t>Krishnan</t>
  </si>
  <si>
    <t>deepa.krishnan@example.com</t>
  </si>
  <si>
    <t>Gokul</t>
  </si>
  <si>
    <t>gokul.raj@example.com</t>
  </si>
  <si>
    <t>Coimbatore</t>
  </si>
  <si>
    <t>Swathi</t>
  </si>
  <si>
    <t>Rao</t>
  </si>
  <si>
    <t>swathi.rao@example.com</t>
  </si>
  <si>
    <t>Karthik</t>
  </si>
  <si>
    <t>Mohan</t>
  </si>
  <si>
    <t>karthik.mohan@example.com</t>
  </si>
  <si>
    <t>Neha</t>
  </si>
  <si>
    <t>Gupta</t>
  </si>
  <si>
    <t>neha.gupta@example.com</t>
  </si>
  <si>
    <t>Vishnu</t>
  </si>
  <si>
    <t>vishnu.menon@example.com</t>
  </si>
  <si>
    <t>Pooja</t>
  </si>
  <si>
    <t>Patel</t>
  </si>
  <si>
    <t>pooja.patel@example.com</t>
  </si>
  <si>
    <t>Ahmedabad</t>
  </si>
  <si>
    <t>Gujarat</t>
  </si>
  <si>
    <t>Harish</t>
  </si>
  <si>
    <t>harish.kumar@example.com</t>
  </si>
  <si>
    <t>Keerthi</t>
  </si>
  <si>
    <t>Ramesh</t>
  </si>
  <si>
    <t>keerthi.ramesh@example.com</t>
  </si>
  <si>
    <t>Sanjay</t>
  </si>
  <si>
    <t>Das</t>
  </si>
  <si>
    <t>sanjay.das@example.com</t>
  </si>
  <si>
    <t>Kolkata</t>
  </si>
  <si>
    <t>Maya</t>
  </si>
  <si>
    <t>Thomas</t>
  </si>
  <si>
    <t>maya.thomas@example.com</t>
  </si>
  <si>
    <t>Ajay</t>
  </si>
  <si>
    <t>Rajan</t>
  </si>
  <si>
    <t>ajay.rajan@example.com</t>
  </si>
  <si>
    <t>Roshini</t>
  </si>
  <si>
    <t>Paul</t>
  </si>
  <si>
    <t>roshini.paul@example.com</t>
  </si>
  <si>
    <t>Bharath</t>
  </si>
  <si>
    <t>bharath.rao@example.com</t>
  </si>
  <si>
    <t>Ishita</t>
  </si>
  <si>
    <t>Roy</t>
  </si>
  <si>
    <t>ishita.roy@example.com</t>
  </si>
  <si>
    <t>Naveen</t>
  </si>
  <si>
    <t>naveen.kumar@example.com</t>
  </si>
  <si>
    <t>Harini</t>
  </si>
  <si>
    <t>S</t>
  </si>
  <si>
    <t>harini.s@example.com</t>
  </si>
  <si>
    <t>mohan.raj@example.com</t>
  </si>
  <si>
    <t>Aparna</t>
  </si>
  <si>
    <t>Krish</t>
  </si>
  <si>
    <t>aparna.krish@example.com</t>
  </si>
  <si>
    <t>Dinesh</t>
  </si>
  <si>
    <t>Yadav</t>
  </si>
  <si>
    <t>dinesh.yadav@example.com</t>
  </si>
  <si>
    <t>Sangeetha</t>
  </si>
  <si>
    <t>M</t>
  </si>
  <si>
    <t>sangeetha.m@example.com</t>
  </si>
  <si>
    <t>N</t>
  </si>
  <si>
    <t>prakash.n@example.com</t>
  </si>
  <si>
    <t>Gayathri</t>
  </si>
  <si>
    <t>K</t>
  </si>
  <si>
    <t>gayathri.k@example.com</t>
  </si>
  <si>
    <t>Madurai</t>
  </si>
  <si>
    <t>Rohit</t>
  </si>
  <si>
    <t>Mehta</t>
  </si>
  <si>
    <t>rohit.mehta@example.com</t>
  </si>
  <si>
    <t>Mumbai</t>
  </si>
  <si>
    <t>Janani</t>
  </si>
  <si>
    <t>R</t>
  </si>
  <si>
    <t>janani.r@example.com</t>
  </si>
  <si>
    <t>Faizal</t>
  </si>
  <si>
    <t>Ahmed</t>
  </si>
  <si>
    <t>faizal.ahmed@example.com</t>
  </si>
  <si>
    <t>Swetha</t>
  </si>
  <si>
    <t>swetha.r@example.com</t>
  </si>
  <si>
    <t>Ashwin</t>
  </si>
  <si>
    <t>ashwin.kumar@example.com</t>
  </si>
  <si>
    <t>Monica</t>
  </si>
  <si>
    <t>D</t>
  </si>
  <si>
    <t>monica.d@example.com</t>
  </si>
  <si>
    <t>Tarun</t>
  </si>
  <si>
    <t>Shah</t>
  </si>
  <si>
    <t>tarun.shah@example.com</t>
  </si>
  <si>
    <t>Revathi</t>
  </si>
  <si>
    <t>revathi.s@example.com</t>
  </si>
  <si>
    <t>Imran</t>
  </si>
  <si>
    <t>Khan</t>
  </si>
  <si>
    <t>imran.khan@example.com</t>
  </si>
  <si>
    <t>Kavya</t>
  </si>
  <si>
    <t>kavya.r@example.com</t>
  </si>
  <si>
    <t>Holiday In</t>
  </si>
  <si>
    <t>Cell Referencing</t>
  </si>
  <si>
    <t>Arun Kumar</t>
  </si>
  <si>
    <t>Data Engineer</t>
  </si>
  <si>
    <t>Tamil Nadu</t>
  </si>
  <si>
    <t>Priya Sharma</t>
  </si>
  <si>
    <t>HR Manager</t>
  </si>
  <si>
    <t>David Wilson</t>
  </si>
  <si>
    <t>Senior Data Engineer</t>
  </si>
  <si>
    <t>Meena Ravi</t>
  </si>
  <si>
    <t>Financial Analyst</t>
  </si>
  <si>
    <t>Excel;Accounting;Power BI;Financial Analysis</t>
  </si>
  <si>
    <t>Rahul Verma</t>
  </si>
  <si>
    <t>Cloud Engineer</t>
  </si>
  <si>
    <t>Sneha Iyer</t>
  </si>
  <si>
    <t>Finance Manager</t>
  </si>
  <si>
    <t>Kiran Reddy</t>
  </si>
  <si>
    <t>Sales Executive</t>
  </si>
  <si>
    <t>Anitha Joseph</t>
  </si>
  <si>
    <t>Sales Manager</t>
  </si>
  <si>
    <t>Vijay Kumar</t>
  </si>
  <si>
    <t>DevOps Engineer</t>
  </si>
  <si>
    <t>Divya Nair</t>
  </si>
  <si>
    <t>John Mathew</t>
  </si>
  <si>
    <t>Software Engineer</t>
  </si>
  <si>
    <t>Lakshmi Devi</t>
  </si>
  <si>
    <t>Senior Accountant</t>
  </si>
  <si>
    <t>Suresh Babu</t>
  </si>
  <si>
    <t>Operations Manager</t>
  </si>
  <si>
    <t>Excel;SQL;Power BI;Process Management</t>
  </si>
  <si>
    <t>Nandhini Raj</t>
  </si>
  <si>
    <t>Marketing Executive</t>
  </si>
  <si>
    <t>SEO;Google Analytics;Content;Social Media</t>
  </si>
  <si>
    <t>Ravi Prakash</t>
  </si>
  <si>
    <t>Python Developer</t>
  </si>
  <si>
    <t>Asha Menon</t>
  </si>
  <si>
    <t>HR Executive</t>
  </si>
  <si>
    <t>Manoj Singh</t>
  </si>
  <si>
    <t>Business Development Executive</t>
  </si>
  <si>
    <t>Deepa Krishnan</t>
  </si>
  <si>
    <t>BI Developer</t>
  </si>
  <si>
    <t>Gokul Raj</t>
  </si>
  <si>
    <t>Operations Executive</t>
  </si>
  <si>
    <t>Swathi Rao</t>
  </si>
  <si>
    <t>Digital Marketing Specialist</t>
  </si>
  <si>
    <t>Karthik Mohan</t>
  </si>
  <si>
    <t>Azure Data Engineer</t>
  </si>
  <si>
    <t>Neha Gupta</t>
  </si>
  <si>
    <t>Finance Executive</t>
  </si>
  <si>
    <t>Vishnu Menon</t>
  </si>
  <si>
    <t>Database Administrator</t>
  </si>
  <si>
    <t>Pooja Patel</t>
  </si>
  <si>
    <t>Harish Kumar</t>
  </si>
  <si>
    <t>Business Analyst</t>
  </si>
  <si>
    <t>Keerthi Ramesh</t>
  </si>
  <si>
    <t>Machine Learning Engineer</t>
  </si>
  <si>
    <t>Sanjay Das</t>
  </si>
  <si>
    <t>Senior Financial Analyst</t>
  </si>
  <si>
    <t>West Bengal</t>
  </si>
  <si>
    <t>Maya Thomas</t>
  </si>
  <si>
    <t>Talent Acquisition Specialist</t>
  </si>
  <si>
    <t>Ajay Rajan</t>
  </si>
  <si>
    <t>Full Stack Developer</t>
  </si>
  <si>
    <t>Roshini Paul</t>
  </si>
  <si>
    <t>Content Strategist</t>
  </si>
  <si>
    <t>Bharath Rao</t>
  </si>
  <si>
    <t>Cloud Architect</t>
  </si>
  <si>
    <t>Ishita Roy</t>
  </si>
  <si>
    <t>Naveen Kumar</t>
  </si>
  <si>
    <t>Regional Sales Manager</t>
  </si>
  <si>
    <t>Harini S</t>
  </si>
  <si>
    <t>QA Engineer</t>
  </si>
  <si>
    <t>Mohan Raj</t>
  </si>
  <si>
    <t>Supply Chain Analyst</t>
  </si>
  <si>
    <t>Aparna Krish</t>
  </si>
  <si>
    <t>Learning Specialist</t>
  </si>
  <si>
    <t>Dinesh Yadav</t>
  </si>
  <si>
    <t>Network Engineer</t>
  </si>
  <si>
    <t>Sangeetha M</t>
  </si>
  <si>
    <t>Marketing Manager</t>
  </si>
  <si>
    <t>Prakash N</t>
  </si>
  <si>
    <t>Data Analyst</t>
  </si>
  <si>
    <t>Gayathri K</t>
  </si>
  <si>
    <t>Accounts Executive</t>
  </si>
  <si>
    <t>Rohit Mehta</t>
  </si>
  <si>
    <t>Account Manager</t>
  </si>
  <si>
    <t>Janani R</t>
  </si>
  <si>
    <t>Power BI Developer</t>
  </si>
  <si>
    <t>Faizal Ahmed</t>
  </si>
  <si>
    <t>Operations Analyst</t>
  </si>
  <si>
    <t>Swetha R</t>
  </si>
  <si>
    <t>HR Business Partner</t>
  </si>
  <si>
    <t>Ashwin Kumar</t>
  </si>
  <si>
    <t>Site Reliability Engineer</t>
  </si>
  <si>
    <t>Monica D</t>
  </si>
  <si>
    <t>Financial Controller</t>
  </si>
  <si>
    <t>Tarun Shah</t>
  </si>
  <si>
    <t>Needs Improvement</t>
  </si>
  <si>
    <t>Revathi S</t>
  </si>
  <si>
    <t>ETL Developer</t>
  </si>
  <si>
    <t>Imran Khan</t>
  </si>
  <si>
    <t>Project Coordinator</t>
  </si>
  <si>
    <t>Kavya R</t>
  </si>
  <si>
    <t>Brand Manager</t>
  </si>
  <si>
    <t>Employee Count</t>
  </si>
  <si>
    <t>Total</t>
  </si>
  <si>
    <t>Total Salary</t>
  </si>
  <si>
    <t>Total Bonus</t>
  </si>
  <si>
    <t>Projects</t>
  </si>
  <si>
    <t>Row Labels</t>
  </si>
  <si>
    <t>Grand Total</t>
  </si>
  <si>
    <t>Sum of Annual_Salary</t>
  </si>
  <si>
    <t>Sum of Bonus_Amount</t>
  </si>
  <si>
    <t>Sum of Projects_Count</t>
  </si>
  <si>
    <t>Count of Work_Mode</t>
  </si>
  <si>
    <t>Column1</t>
  </si>
  <si>
    <t>Performance Rating</t>
  </si>
  <si>
    <t xml:space="preserve">Good </t>
  </si>
  <si>
    <t>Employees</t>
  </si>
  <si>
    <t>Need Improvement</t>
  </si>
  <si>
    <t>High salary</t>
  </si>
  <si>
    <t>High salary employees</t>
  </si>
  <si>
    <t>&gt; 80000</t>
  </si>
  <si>
    <t>IT+Excellent salary</t>
  </si>
  <si>
    <t>Total salary</t>
  </si>
  <si>
    <t>Avg salary</t>
  </si>
  <si>
    <t>Employees &gt; 80000</t>
  </si>
  <si>
    <t>Avg.Performance score</t>
  </si>
  <si>
    <t>Total Employees</t>
  </si>
  <si>
    <t>Excellent Performers</t>
  </si>
  <si>
    <t>High Performance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</si>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</sst>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49]\ * #,##0_ ;_ [$₹-449]\ * \-#,##0_ ;_ [$₹-449]\ * &quot;-&quot;_ ;_ @_ "/>
    <numFmt numFmtId="168" formatCode="[$-409]d/mmm/yy;@"/>
    <numFmt numFmtId="17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7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168" fontId="0" fillId="0" borderId="0" xfId="0" applyNumberFormat="1"/>
    <xf numFmtId="168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4" borderId="0" xfId="0" applyFill="1"/>
    <xf numFmtId="0" fontId="0" fillId="4" borderId="3" xfId="0" applyFill="1" applyBorder="1"/>
    <xf numFmtId="174" fontId="0" fillId="4" borderId="3" xfId="0" applyNumberFormat="1" applyFill="1" applyBorder="1"/>
    <xf numFmtId="0" fontId="2" fillId="5" borderId="4" xfId="0" applyFont="1" applyFill="1" applyBorder="1"/>
    <xf numFmtId="0" fontId="2" fillId="5" borderId="6" xfId="0" applyFont="1" applyFill="1" applyBorder="1"/>
    <xf numFmtId="0" fontId="2" fillId="5" borderId="5" xfId="0" applyFont="1" applyFill="1" applyBorder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6" borderId="4" xfId="0" applyFont="1" applyFill="1" applyBorder="1"/>
    <xf numFmtId="0" fontId="0" fillId="6" borderId="6" xfId="0" applyFont="1" applyFill="1" applyBorder="1"/>
    <xf numFmtId="0" fontId="0" fillId="4" borderId="4" xfId="0" applyFont="1" applyFill="1" applyBorder="1"/>
    <xf numFmtId="0" fontId="0" fillId="4" borderId="6" xfId="0" applyFont="1" applyFill="1" applyBorder="1"/>
  </cellXfs>
  <cellStyles count="1">
    <cellStyle name="Normal" xfId="0" builtinId="0"/>
  </cellStyles>
  <dxfs count="3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</dxfs>
  <tableStyles count="0" defaultTableStyle="TableStyleMedium2" defaultPivotStyle="PivotStyleMedium9"/>
  <colors>
    <mruColors>
      <color rgb="FFF3E3E6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Projects</a:t>
            </a:r>
          </a:p>
        </c:rich>
      </c:tx>
      <c:layout>
        <c:manualLayout>
          <c:xMode val="edge"/>
          <c:yMode val="edge"/>
          <c:x val="0.35647006726618186"/>
          <c:y val="3.8680673239269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Dashboards!$G$1048553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2-4C05-80C8-842E411F7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2-4C05-80C8-842E411F7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2-4C05-80C8-842E411F7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A2-4C05-80C8-842E411F7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A2-4C05-80C8-842E411F76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A2-4C05-80C8-842E411F763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Dashboards!$F$1048554:$F$1048560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Dashboards!$G$1048554:$G$1048560</c:f>
              <c:numCache>
                <c:formatCode>General</c:formatCode>
                <c:ptCount val="6"/>
                <c:pt idx="0">
                  <c:v>34</c:v>
                </c:pt>
                <c:pt idx="1">
                  <c:v>25</c:v>
                </c:pt>
                <c:pt idx="2">
                  <c:v>102</c:v>
                </c:pt>
                <c:pt idx="3">
                  <c:v>23</c:v>
                </c:pt>
                <c:pt idx="4">
                  <c:v>25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A2-4C05-80C8-842E411F7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37871123697895"/>
          <c:y val="0.5803555665407294"/>
          <c:w val="0.27262128876302105"/>
          <c:h val="0.38516379314861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wise Salary and Bonus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Dashboards!$B$1048553</c:f>
              <c:strCache>
                <c:ptCount val="1"/>
                <c:pt idx="0">
                  <c:v>Sum of Annual_Salary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Dashboards!$A$1048554:$A$1048560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Dashboards!$B$1048554:$B$1048560</c:f>
              <c:numCache>
                <c:formatCode>General</c:formatCode>
                <c:ptCount val="6"/>
                <c:pt idx="0">
                  <c:v>572000</c:v>
                </c:pt>
                <c:pt idx="1">
                  <c:v>377000</c:v>
                </c:pt>
                <c:pt idx="2">
                  <c:v>1435000</c:v>
                </c:pt>
                <c:pt idx="3">
                  <c:v>351000</c:v>
                </c:pt>
                <c:pt idx="4">
                  <c:v>376000</c:v>
                </c:pt>
                <c:pt idx="5">
                  <c:v>450000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8-4C84-9085-88935F6CBB03}"/>
            </c:ext>
          </c:extLst>
        </c:ser>
        <c:ser>
          <c:idx val="1"/>
          <c:order val="1"/>
          <c:tx>
            <c:strRef>
              <c:f>Dashboards!$C$1048553</c:f>
              <c:strCache>
                <c:ptCount val="1"/>
                <c:pt idx="0">
                  <c:v>Sum of Bonus_Amount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Dashboards!$A$1048554:$A$1048560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Dashboards!$C$1048554:$C$1048560</c:f>
              <c:numCache>
                <c:formatCode>General</c:formatCode>
                <c:ptCount val="6"/>
                <c:pt idx="0">
                  <c:v>61580</c:v>
                </c:pt>
                <c:pt idx="1">
                  <c:v>43490</c:v>
                </c:pt>
                <c:pt idx="2">
                  <c:v>183910</c:v>
                </c:pt>
                <c:pt idx="3">
                  <c:v>42560</c:v>
                </c:pt>
                <c:pt idx="4">
                  <c:v>37030</c:v>
                </c:pt>
                <c:pt idx="5">
                  <c:v>45240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8-4C84-9085-88935F6CB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0553311"/>
        <c:axId val="1939165615"/>
      </c:lineChart>
      <c:catAx>
        <c:axId val="176055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65615"/>
        <c:crosses val="autoZero"/>
        <c:auto val="1"/>
        <c:lblAlgn val="ctr"/>
        <c:lblOffset val="100"/>
        <c:noMultiLvlLbl val="0"/>
      </c:catAx>
      <c:valAx>
        <c:axId val="19391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5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Dashboards!$O$1048553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9D-498C-A0DC-C4E27D29A20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9D-498C-A0DC-C4E27D29A20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9D-498C-A0DC-C4E27D29A20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9D-498C-A0DC-C4E27D29A20E}"/>
              </c:ext>
            </c:extLst>
          </c:dPt>
          <c:dLbls>
            <c:dLbl>
              <c:idx val="3"/>
              <c:layout>
                <c:manualLayout>
                  <c:x val="0.15275717677615178"/>
                  <c:y val="9.804230353558747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66713214499452"/>
                      <c:h val="5.17057279604755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9D-498C-A0DC-C4E27D29A20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Dashboards!$N$1048554:$N$1048557</c:f>
              <c:strCache>
                <c:ptCount val="4"/>
                <c:pt idx="0">
                  <c:v>Excellent</c:v>
                </c:pt>
                <c:pt idx="1">
                  <c:v>Good </c:v>
                </c:pt>
                <c:pt idx="2">
                  <c:v>Average</c:v>
                </c:pt>
                <c:pt idx="3">
                  <c:v>Need Improvement</c:v>
                </c:pt>
              </c:strCache>
            </c:strRef>
          </c:cat>
          <c:val>
            <c:numRef>
              <c:f>Dashboards!$O$1048554:$O$1048557</c:f>
              <c:numCache>
                <c:formatCode>General</c:formatCode>
                <c:ptCount val="4"/>
                <c:pt idx="0">
                  <c:v>18</c:v>
                </c:pt>
                <c:pt idx="1">
                  <c:v>22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9D-498C-A0DC-C4E27D29A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solidFill>
          <a:srgbClr val="F3E3E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 wise Summary</a:t>
            </a:r>
          </a:p>
        </c:rich>
      </c:tx>
      <c:layout>
        <c:manualLayout>
          <c:xMode val="edge"/>
          <c:yMode val="edge"/>
          <c:x val="0.41280362891425226"/>
          <c:y val="2.318302269977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mpd="thickThin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5072644250726E-2"/>
          <c:y val="0.18178743000085279"/>
          <c:w val="0.6903081619778848"/>
          <c:h val="0.63555593456955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 w="19050" cmpd="thickThin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Sheet5!$A$4:$A$12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15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3-447F-B24D-D6CC7954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559375"/>
        <c:axId val="1939180015"/>
      </c:barChart>
      <c:lineChart>
        <c:grouping val="standard"/>
        <c:varyColors val="0"/>
        <c:ser>
          <c:idx val="1"/>
          <c:order val="1"/>
          <c:tx>
            <c:strRef>
              <c:f>Sheet5!$C$3</c:f>
              <c:strCache>
                <c:ptCount val="1"/>
                <c:pt idx="0">
                  <c:v>Total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Sheet5!$A$4:$A$12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Sheet5!$C$4:$C$12</c:f>
              <c:numCache>
                <c:formatCode>General</c:formatCode>
                <c:ptCount val="8"/>
                <c:pt idx="0">
                  <c:v>187000</c:v>
                </c:pt>
                <c:pt idx="1">
                  <c:v>89000</c:v>
                </c:pt>
                <c:pt idx="2">
                  <c:v>705000</c:v>
                </c:pt>
                <c:pt idx="3">
                  <c:v>304000</c:v>
                </c:pt>
                <c:pt idx="4">
                  <c:v>589000</c:v>
                </c:pt>
                <c:pt idx="5">
                  <c:v>1018000</c:v>
                </c:pt>
                <c:pt idx="6">
                  <c:v>530000</c:v>
                </c:pt>
                <c:pt idx="7">
                  <c:v>139000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3-447F-B24D-D6CC7954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456367"/>
        <c:axId val="1939223215"/>
      </c:lineChart>
      <c:catAx>
        <c:axId val="670559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80015"/>
        <c:crosses val="autoZero"/>
        <c:auto val="1"/>
        <c:lblAlgn val="ctr"/>
        <c:lblOffset val="100"/>
        <c:noMultiLvlLbl val="0"/>
      </c:catAx>
      <c:valAx>
        <c:axId val="1939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59375"/>
        <c:crosses val="autoZero"/>
        <c:crossBetween val="between"/>
      </c:valAx>
      <c:valAx>
        <c:axId val="1939223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6367"/>
        <c:crosses val="max"/>
        <c:crossBetween val="between"/>
      </c:valAx>
      <c:catAx>
        <c:axId val="670456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9223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57586105308265"/>
          <c:y val="0.86213790913122157"/>
          <c:w val="0.18966903690610101"/>
          <c:h val="0.1284255563944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mode by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8461546781506081E-2"/>
              <c:y val="-1.7980744194923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5714293439970027E-2"/>
              <c:y val="-7.32195390341229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472533415361558E-2"/>
              <c:y val="-1.16260575435653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472533415361558E-2"/>
                  <c:y val="-1.1626057543565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2-4EB3-BFD2-3A2D3BB42C99}"/>
                </c:ext>
              </c:extLst>
            </c:dLbl>
            <c:dLbl>
              <c:idx val="1"/>
              <c:layout>
                <c:manualLayout>
                  <c:x val="3.5714293439970027E-2"/>
                  <c:y val="-7.32195390341229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D2-4EB3-BFD2-3A2D3BB42C99}"/>
                </c:ext>
              </c:extLst>
            </c:dLbl>
            <c:dLbl>
              <c:idx val="2"/>
              <c:layout>
                <c:manualLayout>
                  <c:x val="3.8461546781506081E-2"/>
                  <c:y val="-1.7980744194923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2-4EB3-BFD2-3A2D3BB42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23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2-4EB3-BFD2-3A2D3BB42C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21282383"/>
        <c:axId val="1939216495"/>
        <c:axId val="0"/>
      </c:bar3DChart>
      <c:catAx>
        <c:axId val="192128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16495"/>
        <c:crosses val="autoZero"/>
        <c:auto val="1"/>
        <c:lblAlgn val="ctr"/>
        <c:lblOffset val="100"/>
        <c:noMultiLvlLbl val="0"/>
      </c:catAx>
      <c:valAx>
        <c:axId val="19392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28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 wise Summary</a:t>
            </a:r>
          </a:p>
        </c:rich>
      </c:tx>
      <c:layout>
        <c:manualLayout>
          <c:xMode val="edge"/>
          <c:yMode val="edge"/>
          <c:x val="0.41280362891425226"/>
          <c:y val="2.318302269977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5072644250726E-2"/>
          <c:y val="0.18178743000085279"/>
          <c:w val="0.6903081619778848"/>
          <c:h val="0.63555593456955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Sheet5!$A$4:$A$12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15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8-4BD5-8274-4E374670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559375"/>
        <c:axId val="1939180015"/>
      </c:barChart>
      <c:lineChart>
        <c:grouping val="standard"/>
        <c:varyColors val="0"/>
        <c:ser>
          <c:idx val="1"/>
          <c:order val="1"/>
          <c:tx>
            <c:strRef>
              <c:f>Sheet5!$C$3</c:f>
              <c:strCache>
                <c:ptCount val="1"/>
                <c:pt idx="0">
                  <c:v>Total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Sheet5!$A$4:$A$12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Sheet5!$C$4:$C$12</c:f>
              <c:numCache>
                <c:formatCode>General</c:formatCode>
                <c:ptCount val="8"/>
                <c:pt idx="0">
                  <c:v>187000</c:v>
                </c:pt>
                <c:pt idx="1">
                  <c:v>89000</c:v>
                </c:pt>
                <c:pt idx="2">
                  <c:v>705000</c:v>
                </c:pt>
                <c:pt idx="3">
                  <c:v>304000</c:v>
                </c:pt>
                <c:pt idx="4">
                  <c:v>589000</c:v>
                </c:pt>
                <c:pt idx="5">
                  <c:v>1018000</c:v>
                </c:pt>
                <c:pt idx="6">
                  <c:v>530000</c:v>
                </c:pt>
                <c:pt idx="7">
                  <c:v>139000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8-4BD5-8274-4E374670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456367"/>
        <c:axId val="1939223215"/>
      </c:lineChart>
      <c:catAx>
        <c:axId val="670559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80015"/>
        <c:auto val="1"/>
        <c:lblAlgn val="ctr"/>
        <c:lblOffset val="100"/>
        <c:noMultiLvlLbl val="0"/>
      </c:catAx>
      <c:valAx>
        <c:axId val="1939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59375"/>
        <c:crossBetween val="between"/>
      </c:valAx>
      <c:valAx>
        <c:axId val="1939223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6367"/>
        <c:crosses val="max"/>
        <c:crossBetween val="between"/>
      </c:valAx>
      <c:catAx>
        <c:axId val="670456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9223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mode by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23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7-441D-95A5-C0611E6FCA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21282383"/>
        <c:axId val="1939216495"/>
        <c:axId val="0"/>
      </c:bar3DChart>
      <c:catAx>
        <c:axId val="192128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16495"/>
        <c:crosses val="autoZero"/>
        <c:auto val="1"/>
        <c:lblAlgn val="ctr"/>
        <c:lblOffset val="100"/>
        <c:noMultiLvlLbl val="0"/>
      </c:catAx>
      <c:valAx>
        <c:axId val="19392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28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1160780</xdr:colOff>
      <xdr:row>2</xdr:row>
      <xdr:rowOff>188807</xdr:rowOff>
    </xdr:from>
    <xdr:to>
      <xdr:col>5</xdr:col>
      <xdr:colOff>390313</xdr:colOff>
      <xdr:row>7</xdr:row>
      <xdr:rowOff>176953</xdr:rowOff>
    </xdr:to>
    <xdr:sp macro="" textlink="$A$6">
      <xdr:nvSpPr>
        <xdr:cNvPr id="7" name="Rectangle: Rounded Corners 6">
          <a:extLst>
            <a:ext uri="{FF2B5EF4-FFF2-40B4-BE49-F238E27FC236}">
              <a16:creationId xmlns:a16="http://schemas.microsoft.com/office/drawing/2014/main" id="{37721998-DA35-FEEC-8DC9-6EECD09CB628}"/>
            </a:ext>
          </a:extLst>
        </xdr:cNvPr>
        <xdr:cNvSpPr/>
      </xdr:nvSpPr>
      <xdr:spPr>
        <a:xfrm>
          <a:off x="4801447" y="561340"/>
          <a:ext cx="1794933" cy="56388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Total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Salary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fld id="{134850D4-FFAF-4986-BF5A-EE048B34EDE1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₹ 35,61,000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897466</xdr:colOff>
      <xdr:row>2</xdr:row>
      <xdr:rowOff>205740</xdr:rowOff>
    </xdr:from>
    <xdr:to>
      <xdr:col>6</xdr:col>
      <xdr:colOff>1355513</xdr:colOff>
      <xdr:row>8</xdr:row>
      <xdr:rowOff>7620</xdr:rowOff>
    </xdr:to>
    <xdr:sp macro="" textlink="$B$6">
      <xdr:nvSpPr>
        <xdr:cNvPr id="8" name="Rectangle: Rounded Corners 7">
          <a:extLst>
            <a:ext uri="{FF2B5EF4-FFF2-40B4-BE49-F238E27FC236}">
              <a16:creationId xmlns:a16="http://schemas.microsoft.com/office/drawing/2014/main" id="{D354DA3B-C203-424A-B6F7-40A3F1FE1AC1}"/>
            </a:ext>
          </a:extLst>
        </xdr:cNvPr>
        <xdr:cNvSpPr/>
      </xdr:nvSpPr>
      <xdr:spPr>
        <a:xfrm>
          <a:off x="7103533" y="578273"/>
          <a:ext cx="1702647" cy="56388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Total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Bonus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fld id="{8A6C471C-E621-4F76-9903-AAE3A39E56EB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₹ 4,13,810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154941</xdr:colOff>
      <xdr:row>2</xdr:row>
      <xdr:rowOff>220980</xdr:rowOff>
    </xdr:from>
    <xdr:to>
      <xdr:col>8</xdr:col>
      <xdr:colOff>543561</xdr:colOff>
      <xdr:row>8</xdr:row>
      <xdr:rowOff>7620</xdr:rowOff>
    </xdr:to>
    <xdr:sp macro="" textlink="$C$6">
      <xdr:nvSpPr>
        <xdr:cNvPr id="9" name="Rectangle: Rounded Corners 8">
          <a:extLst>
            <a:ext uri="{FF2B5EF4-FFF2-40B4-BE49-F238E27FC236}">
              <a16:creationId xmlns:a16="http://schemas.microsoft.com/office/drawing/2014/main" id="{4ED38FD0-573B-49E4-B0BF-27FA4CCCC006}"/>
            </a:ext>
          </a:extLst>
        </xdr:cNvPr>
        <xdr:cNvSpPr/>
      </xdr:nvSpPr>
      <xdr:spPr>
        <a:xfrm>
          <a:off x="9019541" y="593513"/>
          <a:ext cx="1802553" cy="54864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Average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Salary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fld id="{2D4F7BED-E1E6-4752-8951-855446442EFE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₹ 71,220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1007533</xdr:colOff>
      <xdr:row>0</xdr:row>
      <xdr:rowOff>82974</xdr:rowOff>
    </xdr:from>
    <xdr:to>
      <xdr:col>8</xdr:col>
      <xdr:colOff>592667</xdr:colOff>
      <xdr:row>2</xdr:row>
      <xdr:rowOff>101601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479F6EE-3A9D-40B9-9F52-FDF790C07E30}"/>
            </a:ext>
          </a:extLst>
        </xdr:cNvPr>
        <xdr:cNvSpPr/>
      </xdr:nvSpPr>
      <xdr:spPr>
        <a:xfrm>
          <a:off x="4648200" y="82974"/>
          <a:ext cx="6223000" cy="39116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</a:t>
          </a:r>
          <a:r>
            <a:rPr lang="en-IN" sz="1100" baseline="0"/>
            <a:t>   </a:t>
          </a:r>
          <a:r>
            <a:rPr lang="en-IN" sz="1100"/>
            <a:t>          </a:t>
          </a:r>
          <a:r>
            <a:rPr lang="en-IN" sz="2000">
              <a:solidFill>
                <a:schemeClr val="tx2"/>
              </a:solidFill>
            </a:rPr>
            <a:t>Employee</a:t>
          </a:r>
          <a:r>
            <a:rPr lang="en-IN" sz="2000" baseline="0">
              <a:solidFill>
                <a:schemeClr val="tx2"/>
              </a:solidFill>
            </a:rPr>
            <a:t> Analytics Dashboard</a:t>
          </a:r>
          <a:endParaRPr lang="en-IN" sz="1100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853440</xdr:colOff>
      <xdr:row>2</xdr:row>
      <xdr:rowOff>205740</xdr:rowOff>
    </xdr:from>
    <xdr:to>
      <xdr:col>2</xdr:col>
      <xdr:colOff>198120</xdr:colOff>
      <xdr:row>7</xdr:row>
      <xdr:rowOff>167640</xdr:rowOff>
    </xdr:to>
    <xdr:sp macro="" textlink="$D$6">
      <xdr:nvSpPr>
        <xdr:cNvPr id="11" name="Rectangle: Rounded Corners 10">
          <a:extLst>
            <a:ext uri="{FF2B5EF4-FFF2-40B4-BE49-F238E27FC236}">
              <a16:creationId xmlns:a16="http://schemas.microsoft.com/office/drawing/2014/main" id="{F00FDCF4-88F8-4758-BC0E-764F323E7F4C}"/>
            </a:ext>
          </a:extLst>
        </xdr:cNvPr>
        <xdr:cNvSpPr/>
      </xdr:nvSpPr>
      <xdr:spPr>
        <a:xfrm>
          <a:off x="853440" y="571500"/>
          <a:ext cx="1562100" cy="53340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+mn-lt"/>
              <a:ea typeface="Calibri"/>
              <a:cs typeface="Calibri"/>
            </a:rPr>
            <a:t>Total Employees</a:t>
          </a:r>
          <a:br>
            <a:rPr lang="en-US" sz="1100" b="0" i="0" u="none" strike="noStrike">
              <a:solidFill>
                <a:srgbClr val="002060"/>
              </a:solidFill>
              <a:latin typeface="+mn-lt"/>
              <a:ea typeface="Calibri"/>
              <a:cs typeface="Calibri"/>
            </a:rPr>
          </a:br>
          <a:fld id="{FF616832-C30D-4F70-8FE2-A19ADFEE5590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50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294640</xdr:colOff>
      <xdr:row>2</xdr:row>
      <xdr:rowOff>220133</xdr:rowOff>
    </xdr:from>
    <xdr:to>
      <xdr:col>12</xdr:col>
      <xdr:colOff>207433</xdr:colOff>
      <xdr:row>8</xdr:row>
      <xdr:rowOff>14392</xdr:rowOff>
    </xdr:to>
    <xdr:sp macro="" textlink="$E$6">
      <xdr:nvSpPr>
        <xdr:cNvPr id="12" name="Rectangle: Rounded Corners 11">
          <a:extLst>
            <a:ext uri="{FF2B5EF4-FFF2-40B4-BE49-F238E27FC236}">
              <a16:creationId xmlns:a16="http://schemas.microsoft.com/office/drawing/2014/main" id="{8C5CC67B-201D-4FC7-8EAB-DE62D90B5731}"/>
            </a:ext>
          </a:extLst>
        </xdr:cNvPr>
        <xdr:cNvSpPr/>
      </xdr:nvSpPr>
      <xdr:spPr>
        <a:xfrm>
          <a:off x="11182773" y="592666"/>
          <a:ext cx="1741593" cy="556259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Employee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Salary &gt; 80000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  </a:t>
          </a:r>
          <a:fld id="{22301BC9-4AD4-4617-946C-D176A187BE98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16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549486</xdr:colOff>
      <xdr:row>2</xdr:row>
      <xdr:rowOff>203200</xdr:rowOff>
    </xdr:from>
    <xdr:to>
      <xdr:col>14</xdr:col>
      <xdr:colOff>240452</xdr:colOff>
      <xdr:row>7</xdr:row>
      <xdr:rowOff>183726</xdr:rowOff>
    </xdr:to>
    <xdr:sp macro="" textlink="$F$6">
      <xdr:nvSpPr>
        <xdr:cNvPr id="13" name="Rectangle: Rounded Corners 12">
          <a:extLst>
            <a:ext uri="{FF2B5EF4-FFF2-40B4-BE49-F238E27FC236}">
              <a16:creationId xmlns:a16="http://schemas.microsoft.com/office/drawing/2014/main" id="{56EDC524-326E-4C54-B73A-08EAA96E3F89}"/>
            </a:ext>
          </a:extLst>
        </xdr:cNvPr>
        <xdr:cNvSpPr/>
      </xdr:nvSpPr>
      <xdr:spPr>
        <a:xfrm>
          <a:off x="13266419" y="575733"/>
          <a:ext cx="1638300" cy="55626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Employee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Performers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   </a:t>
          </a:r>
          <a:fld id="{97699D46-AFB6-4B79-9E5A-9A33706B4837}" type="TxLink"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7</a:t>
          </a:fld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220980</xdr:colOff>
      <xdr:row>8</xdr:row>
      <xdr:rowOff>68580</xdr:rowOff>
    </xdr:from>
    <xdr:to>
      <xdr:col>3</xdr:col>
      <xdr:colOff>327660</xdr:colOff>
      <xdr:row>27</xdr:row>
      <xdr:rowOff>83820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2E9E2B11-8699-2565-99C7-7C66EB28FC75}"/>
            </a:ext>
          </a:extLst>
        </xdr:cNvPr>
        <xdr:cNvSpPr/>
      </xdr:nvSpPr>
      <xdr:spPr>
        <a:xfrm>
          <a:off x="220980" y="1188720"/>
          <a:ext cx="3749040" cy="3489960"/>
        </a:xfrm>
        <a:prstGeom prst="round2DiagRect">
          <a:avLst>
            <a:gd name="adj1" fmla="val 0"/>
            <a:gd name="adj2" fmla="val 788"/>
          </a:avLst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259081</xdr:colOff>
      <xdr:row>8</xdr:row>
      <xdr:rowOff>101600</xdr:rowOff>
    </xdr:from>
    <xdr:to>
      <xdr:col>3</xdr:col>
      <xdr:colOff>270934</xdr:colOff>
      <xdr:row>27</xdr:row>
      <xdr:rowOff>60960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03F939B-9656-42C0-BB11-21392003B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8</xdr:row>
      <xdr:rowOff>91440</xdr:rowOff>
    </xdr:from>
    <xdr:to>
      <xdr:col>14</xdr:col>
      <xdr:colOff>711200</xdr:colOff>
      <xdr:row>27</xdr:row>
      <xdr:rowOff>16933</xdr:rowOff>
    </xdr:to>
    <xdr:sp macro="" textlink="">
      <xdr:nvSpPr>
        <xdr:cNvPr id="16" name="Rectangle: Diagonal Corners Rounded 15">
          <a:extLst>
            <a:ext uri="{FF2B5EF4-FFF2-40B4-BE49-F238E27FC236}">
              <a16:creationId xmlns:a16="http://schemas.microsoft.com/office/drawing/2014/main" id="{E173A98A-AF2F-42D5-91A9-B5E91B740BE3}"/>
            </a:ext>
          </a:extLst>
        </xdr:cNvPr>
        <xdr:cNvSpPr/>
      </xdr:nvSpPr>
      <xdr:spPr>
        <a:xfrm>
          <a:off x="4097867" y="1225973"/>
          <a:ext cx="11277600" cy="3464560"/>
        </a:xfrm>
        <a:prstGeom prst="round2DiagRect">
          <a:avLst>
            <a:gd name="adj1" fmla="val 0"/>
            <a:gd name="adj2" fmla="val 0"/>
          </a:avLst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493607</xdr:colOff>
      <xdr:row>8</xdr:row>
      <xdr:rowOff>135467</xdr:rowOff>
    </xdr:from>
    <xdr:to>
      <xdr:col>14</xdr:col>
      <xdr:colOff>668866</xdr:colOff>
      <xdr:row>26</xdr:row>
      <xdr:rowOff>143933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283230A-7F92-4AFC-8FF3-853FDB0F2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188807</xdr:colOff>
      <xdr:row>28</xdr:row>
      <xdr:rowOff>104987</xdr:rowOff>
    </xdr:from>
    <xdr:to>
      <xdr:col>11</xdr:col>
      <xdr:colOff>541867</xdr:colOff>
      <xdr:row>47</xdr:row>
      <xdr:rowOff>50801</xdr:rowOff>
    </xdr:to>
    <xdr:sp macro="" textlink="">
      <xdr:nvSpPr>
        <xdr:cNvPr id="20" name="Rectangle: Diagonal Corners Rounded 19">
          <a:extLst>
            <a:ext uri="{FF2B5EF4-FFF2-40B4-BE49-F238E27FC236}">
              <a16:creationId xmlns:a16="http://schemas.microsoft.com/office/drawing/2014/main" id="{74095198-EE34-43E5-B8D0-202ECFBD6F9E}"/>
            </a:ext>
          </a:extLst>
        </xdr:cNvPr>
        <xdr:cNvSpPr/>
      </xdr:nvSpPr>
      <xdr:spPr>
        <a:xfrm>
          <a:off x="6394874" y="4964854"/>
          <a:ext cx="6254326" cy="3484880"/>
        </a:xfrm>
        <a:prstGeom prst="round2DiagRect">
          <a:avLst>
            <a:gd name="adj1" fmla="val 0"/>
            <a:gd name="adj2" fmla="val 788"/>
          </a:avLst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249767</xdr:colOff>
      <xdr:row>28</xdr:row>
      <xdr:rowOff>152399</xdr:rowOff>
    </xdr:from>
    <xdr:to>
      <xdr:col>11</xdr:col>
      <xdr:colOff>474134</xdr:colOff>
      <xdr:row>47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4A64192-7FC1-42EB-A778-655BEF42F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622300</xdr:colOff>
      <xdr:row>2</xdr:row>
      <xdr:rowOff>197274</xdr:rowOff>
    </xdr:from>
    <xdr:to>
      <xdr:col>3</xdr:col>
      <xdr:colOff>820420</xdr:colOff>
      <xdr:row>7</xdr:row>
      <xdr:rowOff>185420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3597838-D541-47BD-B620-323B538A25DC}"/>
            </a:ext>
          </a:extLst>
        </xdr:cNvPr>
        <xdr:cNvSpPr/>
      </xdr:nvSpPr>
      <xdr:spPr>
        <a:xfrm>
          <a:off x="2840567" y="569807"/>
          <a:ext cx="1620520" cy="56388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Total</a:t>
          </a:r>
          <a:r>
            <a:rPr lang="en-US" sz="1100" b="0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Projects</a:t>
          </a:r>
          <a:endParaRPr lang="en-US" sz="11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11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           235	</a:t>
          </a:r>
        </a:p>
      </xdr:txBody>
    </xdr:sp>
    <xdr:clientData/>
  </xdr:twoCellAnchor>
  <xdr:twoCellAnchor>
    <xdr:from>
      <xdr:col>0</xdr:col>
      <xdr:colOff>220133</xdr:colOff>
      <xdr:row>28</xdr:row>
      <xdr:rowOff>95673</xdr:rowOff>
    </xdr:from>
    <xdr:to>
      <xdr:col>5</xdr:col>
      <xdr:colOff>52493</xdr:colOff>
      <xdr:row>47</xdr:row>
      <xdr:rowOff>34713</xdr:rowOff>
    </xdr:to>
    <xdr:sp macro="" textlink="">
      <xdr:nvSpPr>
        <xdr:cNvPr id="23" name="Rectangle: Diagonal Corners Rounded 22">
          <a:extLst>
            <a:ext uri="{FF2B5EF4-FFF2-40B4-BE49-F238E27FC236}">
              <a16:creationId xmlns:a16="http://schemas.microsoft.com/office/drawing/2014/main" id="{83A20A95-919C-49B9-8AB7-302E972B042C}"/>
            </a:ext>
          </a:extLst>
        </xdr:cNvPr>
        <xdr:cNvSpPr/>
      </xdr:nvSpPr>
      <xdr:spPr>
        <a:xfrm>
          <a:off x="220133" y="4955540"/>
          <a:ext cx="6038427" cy="3478106"/>
        </a:xfrm>
        <a:prstGeom prst="round2DiagRect">
          <a:avLst>
            <a:gd name="adj1" fmla="val 0"/>
            <a:gd name="adj2" fmla="val 788"/>
          </a:avLst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256540</xdr:colOff>
      <xdr:row>29</xdr:row>
      <xdr:rowOff>0</xdr:rowOff>
    </xdr:from>
    <xdr:to>
      <xdr:col>4</xdr:col>
      <xdr:colOff>1143000</xdr:colOff>
      <xdr:row>46</xdr:row>
      <xdr:rowOff>152400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54BED3C-A4A1-4958-8B02-272A8557C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25401</xdr:colOff>
      <xdr:row>28</xdr:row>
      <xdr:rowOff>135468</xdr:rowOff>
    </xdr:from>
    <xdr:to>
      <xdr:col>18</xdr:col>
      <xdr:colOff>127000</xdr:colOff>
      <xdr:row>47</xdr:row>
      <xdr:rowOff>81282</xdr:rowOff>
    </xdr:to>
    <xdr:sp macro="" textlink="">
      <xdr:nvSpPr>
        <xdr:cNvPr id="27" name="Rectangle: Diagonal Corners Rounded 26">
          <a:extLst>
            <a:ext uri="{FF2B5EF4-FFF2-40B4-BE49-F238E27FC236}">
              <a16:creationId xmlns:a16="http://schemas.microsoft.com/office/drawing/2014/main" id="{A483F5F0-2914-4926-9A59-1D69324904C0}"/>
            </a:ext>
          </a:extLst>
        </xdr:cNvPr>
        <xdr:cNvSpPr/>
      </xdr:nvSpPr>
      <xdr:spPr>
        <a:xfrm>
          <a:off x="12742334" y="4995335"/>
          <a:ext cx="4698999" cy="3484880"/>
        </a:xfrm>
        <a:prstGeom prst="round2DiagRect">
          <a:avLst>
            <a:gd name="adj1" fmla="val 0"/>
            <a:gd name="adj2" fmla="val 788"/>
          </a:avLst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59267</xdr:colOff>
      <xdr:row>28</xdr:row>
      <xdr:rowOff>177800</xdr:rowOff>
    </xdr:from>
    <xdr:to>
      <xdr:col>18</xdr:col>
      <xdr:colOff>84666</xdr:colOff>
      <xdr:row>47</xdr:row>
      <xdr:rowOff>33866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ECD211A-3BB2-4A1A-8DD4-5649C5EFF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12</xdr:row>
      <xdr:rowOff>171450</xdr:rowOff>
    </xdr:from>
    <xdr:to>
      <xdr:col>9</xdr:col>
      <xdr:colOff>601980</xdr:colOff>
      <xdr:row>30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0C8E2-A783-F1EF-EBD0-203EFF06D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8</xdr:row>
      <xdr:rowOff>148590</xdr:rowOff>
    </xdr:from>
    <xdr:to>
      <xdr:col>12</xdr:col>
      <xdr:colOff>457200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C0B22-8C12-C702-9990-0AE579FF8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 lakshmi" refreshedDate="46291.502512847219" createdVersion="8" refreshedVersion="8" minRefreshableVersion="3" recordCount="50" xr:uid="{BEB4D89D-ABAF-495E-82DA-3A0208144114}">
  <cacheSource type="worksheet">
    <worksheetSource ref="A1:W51" sheet="Sheet2"/>
  </cacheSource>
  <cacheFields count="23">
    <cacheField name="Employee_ID" numFmtId="0">
      <sharedItems containsSemiMixedTypes="0" containsString="0" containsNumber="1" containsInteger="1" minValue="1001" maxValue="1050"/>
    </cacheField>
    <cacheField name="First_Name" numFmtId="0">
      <sharedItems/>
    </cacheField>
    <cacheField name="Last_Name" numFmtId="0">
      <sharedItems/>
    </cacheField>
    <cacheField name="Full_Name" numFmtId="0">
      <sharedItems/>
    </cacheField>
    <cacheField name="Email" numFmtId="0">
      <sharedItems containsBlank="1"/>
    </cacheField>
    <cacheField name="Department" numFmtId="0">
      <sharedItems count="6">
        <s v="IT"/>
        <s v="HR"/>
        <s v="Finance"/>
        <s v="Sales"/>
        <s v="Operations"/>
        <s v="Marketing"/>
      </sharedItems>
    </cacheField>
    <cacheField name="Job_Title" numFmtId="0">
      <sharedItems/>
    </cacheField>
    <cacheField name="City" numFmtId="0">
      <sharedItems/>
    </cacheField>
    <cacheField name="State" numFmtId="0">
      <sharedItems/>
    </cacheField>
    <cacheField name="Work_Mode" numFmtId="0">
      <sharedItems count="3">
        <s v="Hybrid"/>
        <s v="Remote"/>
        <s v="Office"/>
      </sharedItems>
    </cacheField>
    <cacheField name="Employment_Type" numFmtId="0">
      <sharedItems/>
    </cacheField>
    <cacheField name="Joining_Year" numFmtId="0">
      <sharedItems containsSemiMixedTypes="0" containsString="0" containsNumber="1" containsInteger="1" minValue="2016" maxValue="2024"/>
    </cacheField>
    <cacheField name="Experience_Years" numFmtId="0">
      <sharedItems containsSemiMixedTypes="0" containsString="0" containsNumber="1" containsInteger="1" minValue="2" maxValue="10"/>
    </cacheField>
    <cacheField name="Annual_Salary" numFmtId="0">
      <sharedItems containsSemiMixedTypes="0" containsString="0" containsNumber="1" containsInteger="1" minValue="43000" maxValue="125000"/>
    </cacheField>
    <cacheField name="Bonus_Percentage" numFmtId="0">
      <sharedItems containsSemiMixedTypes="0" containsString="0" containsNumber="1" containsInteger="1" minValue="5" maxValue="15"/>
    </cacheField>
    <cacheField name="Bonus_Amount" numFmtId="0">
      <sharedItems containsSemiMixedTypes="0" containsString="0" containsNumber="1" containsInteger="1" minValue="2150" maxValue="18750"/>
    </cacheField>
    <cacheField name="Performance_Score" numFmtId="0">
      <sharedItems containsSemiMixedTypes="0" containsString="0" containsNumber="1" containsInteger="1" minValue="69" maxValue="97"/>
    </cacheField>
    <cacheField name="Performance_Rating" numFmtId="0">
      <sharedItems/>
    </cacheField>
    <cacheField name="Status" numFmtId="0">
      <sharedItems/>
    </cacheField>
    <cacheField name="Education" numFmtId="0">
      <sharedItems containsBlank="1"/>
    </cacheField>
    <cacheField name="Skills" numFmtId="0">
      <sharedItems containsBlank="1"/>
    </cacheField>
    <cacheField name="Projects_Count" numFmtId="0">
      <sharedItems containsSemiMixedTypes="0" containsString="0" containsNumber="1" containsInteger="1" minValue="1" maxValue="9" count="9">
        <n v="2"/>
        <n v="5"/>
        <n v="7"/>
        <n v="3"/>
        <n v="8"/>
        <n v="6"/>
        <n v="1"/>
        <n v="4"/>
        <n v="9"/>
      </sharedItems>
    </cacheField>
    <cacheField name="Leave_Balance_Days" numFmtId="0">
      <sharedItems containsString="0" containsBlank="1" containsNumber="1" containsInteger="1" minValue="5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 lakshmi" refreshedDate="46291.66202546296" createdVersion="8" refreshedVersion="8" minRefreshableVersion="3" recordCount="50" xr:uid="{ABDFC08A-03BA-45CD-8789-475942D46AA5}">
  <cacheSource type="worksheet">
    <worksheetSource ref="A1:X51" sheet="Sheet2"/>
  </cacheSource>
  <cacheFields count="24">
    <cacheField name="Employee_ID" numFmtId="0">
      <sharedItems containsSemiMixedTypes="0" containsString="0" containsNumber="1" containsInteger="1" minValue="1001" maxValue="1050"/>
    </cacheField>
    <cacheField name="First_Name" numFmtId="0">
      <sharedItems/>
    </cacheField>
    <cacheField name="Last_Name" numFmtId="0">
      <sharedItems/>
    </cacheField>
    <cacheField name="Full_Name" numFmtId="0">
      <sharedItems/>
    </cacheField>
    <cacheField name="Email" numFmtId="0">
      <sharedItems containsBlank="1"/>
    </cacheField>
    <cacheField name="Department" numFmtId="0">
      <sharedItems/>
    </cacheField>
    <cacheField name="Job_Title" numFmtId="0">
      <sharedItems/>
    </cacheField>
    <cacheField name="City" numFmtId="0">
      <sharedItems/>
    </cacheField>
    <cacheField name="State" numFmtId="0">
      <sharedItems count="8">
        <s v="Tamil Nadu"/>
        <s v="Karnataka"/>
        <s v="Telangana"/>
        <s v="Kerala"/>
        <s v="Maharashtra"/>
        <s v="Delhi"/>
        <s v="Gujarat"/>
        <s v="West Bengal"/>
      </sharedItems>
    </cacheField>
    <cacheField name="Work_Mode" numFmtId="0">
      <sharedItems/>
    </cacheField>
    <cacheField name="Employment_Type" numFmtId="0">
      <sharedItems/>
    </cacheField>
    <cacheField name="Joining_Year" numFmtId="0">
      <sharedItems containsSemiMixedTypes="0" containsString="0" containsNumber="1" containsInteger="1" minValue="2016" maxValue="2024"/>
    </cacheField>
    <cacheField name="Experience_Years" numFmtId="0">
      <sharedItems containsSemiMixedTypes="0" containsString="0" containsNumber="1" containsInteger="1" minValue="2" maxValue="10"/>
    </cacheField>
    <cacheField name="Annual_Salary" numFmtId="0">
      <sharedItems containsSemiMixedTypes="0" containsString="0" containsNumber="1" containsInteger="1" minValue="43000" maxValue="125000"/>
    </cacheField>
    <cacheField name="Bonus_Percentage" numFmtId="0">
      <sharedItems containsSemiMixedTypes="0" containsString="0" containsNumber="1" containsInteger="1" minValue="5" maxValue="15"/>
    </cacheField>
    <cacheField name="Bonus_Amount" numFmtId="0">
      <sharedItems containsSemiMixedTypes="0" containsString="0" containsNumber="1" containsInteger="1" minValue="2150" maxValue="18750"/>
    </cacheField>
    <cacheField name="Performance_Score" numFmtId="0">
      <sharedItems containsSemiMixedTypes="0" containsString="0" containsNumber="1" containsInteger="1" minValue="69" maxValue="97"/>
    </cacheField>
    <cacheField name="Performance_Rating" numFmtId="0">
      <sharedItems/>
    </cacheField>
    <cacheField name="Status" numFmtId="0">
      <sharedItems/>
    </cacheField>
    <cacheField name="Education" numFmtId="0">
      <sharedItems containsBlank="1"/>
    </cacheField>
    <cacheField name="Skills" numFmtId="0">
      <sharedItems containsBlank="1"/>
    </cacheField>
    <cacheField name="Projects_Count" numFmtId="0">
      <sharedItems containsSemiMixedTypes="0" containsString="0" containsNumber="1" containsInteger="1" minValue="1" maxValue="9"/>
    </cacheField>
    <cacheField name="Leave_Balance_Days" numFmtId="0">
      <sharedItems containsString="0" containsBlank="1" containsNumber="1" containsInteger="1" minValue="5" maxValue="19"/>
    </cacheField>
    <cacheField name="High salary" numFmtId="0">
      <sharedItems containsString="0" containsBlank="1" containsNumber="1" containsInteger="1" minValue="16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run"/>
    <s v="Kumar"/>
    <s v="Arun Kumar"/>
    <s v="arun.kumar@example.com"/>
    <x v="0"/>
    <s v="Data Engineer"/>
    <s v="Chennai"/>
    <s v="Tamil Nadu"/>
    <x v="0"/>
    <s v="Full-Time"/>
    <n v="2019"/>
    <n v="7"/>
    <n v="65000"/>
    <n v="12"/>
    <n v="7800"/>
    <n v="88"/>
    <s v="Good"/>
    <s v="Active"/>
    <s v="B.Tech"/>
    <s v="Python;SQL;Cloud;Git;Spark"/>
    <x v="0"/>
    <n v="12"/>
  </r>
  <r>
    <n v="1002"/>
    <s v="Priya"/>
    <s v="Sharma"/>
    <s v="Priya Sharma"/>
    <s v="priya.sharma@example.com"/>
    <x v="1"/>
    <s v="HR Manager"/>
    <s v="Bengaluru"/>
    <s v="Karnataka"/>
    <x v="0"/>
    <s v="Full-Time"/>
    <n v="2018"/>
    <n v="8"/>
    <n v="75000"/>
    <n v="15"/>
    <n v="11250"/>
    <n v="92"/>
    <s v="Excellent"/>
    <s v="Active"/>
    <s v="MBA"/>
    <s v="Recruitment;Excel;HRIS;Communication"/>
    <x v="1"/>
    <n v="8"/>
  </r>
  <r>
    <n v="1003"/>
    <s v="David"/>
    <s v="Wilson"/>
    <s v="David Wilson"/>
    <s v="david.wilson@example.com"/>
    <x v="0"/>
    <s v="Senior Data Engineer"/>
    <s v="Chennai"/>
    <s v="Tamil Nadu"/>
    <x v="1"/>
    <s v="Full-Time"/>
    <n v="2017"/>
    <n v="9"/>
    <n v="90000"/>
    <n v="15"/>
    <n v="13500"/>
    <n v="95"/>
    <s v="Excellent"/>
    <s v="Active"/>
    <s v="B.Tech"/>
    <s v="Python;SQL;Cloud;Git;Spark"/>
    <x v="2"/>
    <n v="10"/>
  </r>
  <r>
    <n v="1004"/>
    <s v="Meena"/>
    <s v="Ravi"/>
    <s v="Meena Ravi"/>
    <s v="meena.ravi@example.com"/>
    <x v="2"/>
    <s v="Financial Analyst"/>
    <s v="Hyderabad"/>
    <s v="Telangana"/>
    <x v="2"/>
    <s v="Full-Time"/>
    <n v="2020"/>
    <n v="6"/>
    <n v="65000"/>
    <n v="8"/>
    <n v="5200"/>
    <n v="78"/>
    <s v="Average"/>
    <s v="Active"/>
    <s v="M.Com"/>
    <s v="Excel;Accounting;Power BI;Financial Analysis"/>
    <x v="3"/>
    <n v="15"/>
  </r>
  <r>
    <n v="1005"/>
    <s v="Rahul"/>
    <s v="Verma"/>
    <s v="Rahul Verma"/>
    <s v="rahul.verma@example.com"/>
    <x v="0"/>
    <s v="Cloud Engineer"/>
    <s v="Bengaluru"/>
    <s v="Karnataka"/>
    <x v="0"/>
    <s v="Full-Time"/>
    <n v="2016"/>
    <n v="10"/>
    <n v="95000"/>
    <n v="12"/>
    <n v="11400"/>
    <n v="91"/>
    <s v="Excellent"/>
    <s v="Active"/>
    <s v="B.Tech"/>
    <s v="Python;SQL;Cloud;Git;Spark"/>
    <x v="4"/>
    <n v="9"/>
  </r>
  <r>
    <n v="1006"/>
    <s v="Sneha"/>
    <s v="Iyer"/>
    <s v="Sneha Iyer"/>
    <s v="sneha.iyer@example.com"/>
    <x v="2"/>
    <s v="Finance Manager"/>
    <s v="Chennai"/>
    <s v="Tamil Nadu"/>
    <x v="2"/>
    <s v="Full-Time"/>
    <n v="2017"/>
    <n v="9"/>
    <n v="85000"/>
    <n v="12"/>
    <n v="10200"/>
    <n v="89"/>
    <s v="Good"/>
    <s v="Active"/>
    <s v="M.Com"/>
    <s v="Excel;Accounting;Power BI;Financial Analysis"/>
    <x v="5"/>
    <n v="11"/>
  </r>
  <r>
    <n v="1007"/>
    <s v="Kiran"/>
    <s v="Reddy"/>
    <s v="Kiran Reddy"/>
    <s v="kiran.reddy@example.com"/>
    <x v="3"/>
    <s v="Sales Executive"/>
    <s v="Hyderabad"/>
    <s v="Telangana"/>
    <x v="2"/>
    <s v="Full-Time"/>
    <n v="2024"/>
    <n v="2"/>
    <n v="45000"/>
    <n v="5"/>
    <n v="2250"/>
    <n v="72"/>
    <s v="Average"/>
    <s v="Active"/>
    <s v="MBA"/>
    <s v="CRM;Negotiation;Excel;Communication"/>
    <x v="6"/>
    <n v="18"/>
  </r>
  <r>
    <n v="1008"/>
    <s v="Anitha"/>
    <s v="Joseph"/>
    <s v="Anitha Joseph"/>
    <m/>
    <x v="3"/>
    <s v="Sales Manager"/>
    <s v="Bengaluru"/>
    <s v="Karnataka"/>
    <x v="0"/>
    <s v="Full-Time"/>
    <n v="2019"/>
    <n v="7"/>
    <n v="78000"/>
    <n v="12"/>
    <n v="9360"/>
    <n v="86"/>
    <s v="Good"/>
    <s v="Active"/>
    <s v="MBA"/>
    <s v="CRM;Negotiation;Excel;Communication"/>
    <x v="1"/>
    <n v="7"/>
  </r>
  <r>
    <n v="1009"/>
    <s v="Vijay"/>
    <s v="Kumar"/>
    <s v="Vijay Kumar"/>
    <s v="vijay.kumar@example.com"/>
    <x v="0"/>
    <s v="DevOps Engineer"/>
    <s v="Chennai"/>
    <s v="Tamil Nadu"/>
    <x v="1"/>
    <s v="Full-Time"/>
    <n v="2018"/>
    <n v="8"/>
    <n v="88000"/>
    <n v="15"/>
    <n v="13200"/>
    <n v="94"/>
    <s v="Excellent"/>
    <s v="Active"/>
    <s v="B.Tech"/>
    <s v="Python;SQL;Cloud;Git;Spark"/>
    <x v="2"/>
    <n v="6"/>
  </r>
  <r>
    <n v="1010"/>
    <s v="Divya"/>
    <s v="Nair"/>
    <s v="Divya Nair"/>
    <s v="divya.nair@example.com"/>
    <x v="1"/>
    <s v="Recruiter"/>
    <s v="Kochi"/>
    <s v="Kerala"/>
    <x v="0"/>
    <s v="Full-Time"/>
    <n v="2021"/>
    <n v="5"/>
    <n v="52000"/>
    <n v="8"/>
    <n v="4160"/>
    <n v="83"/>
    <s v="Good"/>
    <s v="Active"/>
    <s v="MBA"/>
    <s v="Recruitment;Excel;HRIS;Communication"/>
    <x v="7"/>
    <n v="14"/>
  </r>
  <r>
    <n v="1011"/>
    <s v="John"/>
    <s v="Mathew"/>
    <s v="John Mathew"/>
    <s v="john.mathew@example.com"/>
    <x v="0"/>
    <s v="Software Engineer"/>
    <s v="Pune"/>
    <s v="Maharashtra"/>
    <x v="0"/>
    <s v="Full-Time"/>
    <n v="2022"/>
    <n v="4"/>
    <n v="60000"/>
    <n v="8"/>
    <n v="4800"/>
    <n v="81"/>
    <s v="Good"/>
    <s v="Active"/>
    <s v="B.Tech"/>
    <s v="Python;SQL;Cloud;Git;Spark"/>
    <x v="3"/>
    <n v="13"/>
  </r>
  <r>
    <n v="1012"/>
    <s v="Lakshmi"/>
    <s v="Devi"/>
    <s v="Lakshmi Devi"/>
    <s v="lakshmi.devi@example.com"/>
    <x v="2"/>
    <s v="Senior Accountant"/>
    <s v="Chennai"/>
    <s v="Tamil Nadu"/>
    <x v="2"/>
    <s v="Full-Time"/>
    <n v="2019"/>
    <n v="7"/>
    <n v="72000"/>
    <n v="12"/>
    <n v="8640"/>
    <n v="90"/>
    <s v="Excellent"/>
    <s v="Active"/>
    <s v="M.Com"/>
    <s v="Excel;Accounting;Power BI;Financial Analysis"/>
    <x v="5"/>
    <n v="9"/>
  </r>
  <r>
    <n v="1013"/>
    <s v="Suresh"/>
    <s v="Babu"/>
    <s v="Suresh Babu"/>
    <s v="suresh.babu@example.com"/>
    <x v="4"/>
    <s v="Operations Manager"/>
    <s v="Hyderabad"/>
    <s v="Telangana"/>
    <x v="2"/>
    <s v="Full-Time"/>
    <n v="2016"/>
    <n v="10"/>
    <n v="82000"/>
    <n v="12"/>
    <n v="9840"/>
    <n v="87"/>
    <s v="Good"/>
    <s v="Active"/>
    <s v="MBA"/>
    <s v="Excel;SQL;Power BI;Process Management"/>
    <x v="2"/>
    <n v="8"/>
  </r>
  <r>
    <n v="1014"/>
    <s v="Nandhini"/>
    <s v="Raj"/>
    <s v="Nandhini Raj"/>
    <s v="nandhini.raj@example.com"/>
    <x v="5"/>
    <s v="Marketing Executive"/>
    <s v="Chennai"/>
    <s v="Tamil Nadu"/>
    <x v="0"/>
    <s v="Full-Time"/>
    <n v="2022"/>
    <n v="4"/>
    <n v="55000"/>
    <n v="8"/>
    <n v="4400"/>
    <n v="79"/>
    <s v="Average"/>
    <s v="Active"/>
    <s v="MBA"/>
    <s v="SEO;Google Analytics;Content;Social Media"/>
    <x v="3"/>
    <n v="16"/>
  </r>
  <r>
    <n v="1015"/>
    <s v="Ravi"/>
    <s v="Prakash"/>
    <s v="Ravi Prakash"/>
    <s v="ravi.prakash@example.com"/>
    <x v="0"/>
    <s v="Python Developer"/>
    <s v="Pune"/>
    <s v="Maharashtra"/>
    <x v="1"/>
    <s v="Full-Time"/>
    <n v="2020"/>
    <n v="6"/>
    <n v="70000"/>
    <n v="15"/>
    <n v="10500"/>
    <n v="93"/>
    <s v="Excellent"/>
    <s v="Active"/>
    <s v="B.Tech"/>
    <s v="Python;SQL;Cloud;Git;Spark"/>
    <x v="1"/>
    <n v="10"/>
  </r>
  <r>
    <n v="1016"/>
    <s v="Asha"/>
    <s v="Menon"/>
    <s v="Asha Menon"/>
    <s v="asha.menon@example.com"/>
    <x v="1"/>
    <s v="HR Executive"/>
    <s v="Kochi"/>
    <s v="Kerala"/>
    <x v="2"/>
    <s v="Full-Time"/>
    <n v="2023"/>
    <n v="3"/>
    <n v="48000"/>
    <n v="8"/>
    <n v="3840"/>
    <n v="76"/>
    <s v="Average"/>
    <s v="Active"/>
    <s v="MBA"/>
    <s v="Recruitment;Excel;HRIS;Communication"/>
    <x v="0"/>
    <n v="19"/>
  </r>
  <r>
    <n v="1017"/>
    <s v="Manoj"/>
    <s v="Singh"/>
    <s v="Manoj Singh"/>
    <s v="manoj.singh@example.com"/>
    <x v="3"/>
    <s v="Business Development Executive"/>
    <s v="Delhi"/>
    <s v="Delhi"/>
    <x v="0"/>
    <s v="Full-Time"/>
    <n v="2021"/>
    <n v="5"/>
    <n v="58000"/>
    <n v="8"/>
    <n v="4640"/>
    <n v="84"/>
    <s v="Good"/>
    <s v="Active"/>
    <s v="MBA"/>
    <m/>
    <x v="7"/>
    <n v="12"/>
  </r>
  <r>
    <n v="1018"/>
    <s v="Deepa"/>
    <s v="Krishnan"/>
    <s v="Deepa Krishnan"/>
    <s v="deepa.krishnan@example.com"/>
    <x v="0"/>
    <s v="BI Developer"/>
    <s v="Bengaluru"/>
    <s v="Karnataka"/>
    <x v="0"/>
    <s v="Full-Time"/>
    <n v="2019"/>
    <n v="7"/>
    <n v="76000"/>
    <n v="12"/>
    <n v="9120"/>
    <n v="89"/>
    <s v="Good"/>
    <s v="Active"/>
    <s v="B.Tech"/>
    <s v="Python;SQL;Cloud;Git;Spark"/>
    <x v="5"/>
    <n v="11"/>
  </r>
  <r>
    <n v="1019"/>
    <s v="Gokul"/>
    <s v="Raj"/>
    <s v="Gokul Raj"/>
    <s v="gokul.raj@example.com"/>
    <x v="4"/>
    <s v="Operations Executive"/>
    <s v="Coimbatore"/>
    <s v="Tamil Nadu"/>
    <x v="2"/>
    <s v="Full-Time"/>
    <n v="2023"/>
    <n v="3"/>
    <n v="47000"/>
    <n v="5"/>
    <n v="2350"/>
    <n v="73"/>
    <s v="Average"/>
    <s v="Active"/>
    <s v="MBA"/>
    <s v="Excel;SQL;Power BI;Process Management"/>
    <x v="0"/>
    <n v="17"/>
  </r>
  <r>
    <n v="1020"/>
    <s v="Swathi"/>
    <s v="Rao"/>
    <s v="Swathi Rao"/>
    <s v="swathi.rao@example.com"/>
    <x v="5"/>
    <s v="Digital Marketing Specialist"/>
    <s v="Hyderabad"/>
    <s v="Telangana"/>
    <x v="1"/>
    <s v="Full-Time"/>
    <n v="2020"/>
    <n v="6"/>
    <n v="68000"/>
    <n v="12"/>
    <n v="8160"/>
    <n v="91"/>
    <s v="Excellent"/>
    <s v="Active"/>
    <s v="MBA"/>
    <s v="SEO;Google Analytics;Content;Social Media"/>
    <x v="1"/>
    <n v="7"/>
  </r>
  <r>
    <n v="1021"/>
    <s v="Karthik"/>
    <s v="Mohan"/>
    <s v="Karthik Mohan"/>
    <s v="karthik.mohan@example.com"/>
    <x v="0"/>
    <s v="Azure Data Engineer"/>
    <s v="Chennai"/>
    <s v="Tamil Nadu"/>
    <x v="0"/>
    <s v="Full-Time"/>
    <n v="2018"/>
    <n v="8"/>
    <n v="92000"/>
    <n v="15"/>
    <n v="13800"/>
    <n v="96"/>
    <s v="Excellent"/>
    <s v="Active"/>
    <s v="B.Tech"/>
    <s v="Python;SQL;Cloud;Git;Spark"/>
    <x v="4"/>
    <n v="8"/>
  </r>
  <r>
    <n v="1022"/>
    <s v="Neha"/>
    <s v="Gupta"/>
    <s v="Neha Gupta"/>
    <s v="neha.gupta@example.com"/>
    <x v="2"/>
    <s v="Finance Executive"/>
    <s v="Delhi"/>
    <s v="Delhi"/>
    <x v="2"/>
    <s v="Full-Time"/>
    <n v="2021"/>
    <n v="5"/>
    <n v="57000"/>
    <n v="8"/>
    <n v="4560"/>
    <n v="82"/>
    <s v="Good"/>
    <s v="Active"/>
    <s v="M.Com"/>
    <s v="Excel;Accounting;Power BI;Financial Analysis"/>
    <x v="3"/>
    <n v="13"/>
  </r>
  <r>
    <n v="1023"/>
    <s v="Vishnu"/>
    <s v="Menon"/>
    <s v="Vishnu Menon"/>
    <s v="vishnu.menon@example.com"/>
    <x v="0"/>
    <s v="Database Administrator"/>
    <s v="Kochi"/>
    <s v="Kerala"/>
    <x v="0"/>
    <s v="Full-Time"/>
    <n v="2017"/>
    <n v="9"/>
    <n v="84000"/>
    <n v="12"/>
    <n v="10080"/>
    <n v="88"/>
    <s v="Good"/>
    <s v="Active"/>
    <s v="B.Tech"/>
    <s v="Python;SQL;Cloud;Git;Spark"/>
    <x v="5"/>
    <n v="9"/>
  </r>
  <r>
    <n v="1024"/>
    <s v="Pooja"/>
    <s v="Patel"/>
    <s v="Pooja Patel"/>
    <s v="pooja.patel@example.com"/>
    <x v="3"/>
    <s v="Sales Executive"/>
    <s v="Ahmedabad"/>
    <s v="Gujarat"/>
    <x v="2"/>
    <s v="Full-Time"/>
    <n v="2023"/>
    <n v="3"/>
    <n v="46000"/>
    <n v="5"/>
    <n v="2300"/>
    <n v="71"/>
    <s v="Average"/>
    <s v="Active"/>
    <s v="MBA"/>
    <s v="CRM;Negotiation;Excel;Communication"/>
    <x v="0"/>
    <n v="16"/>
  </r>
  <r>
    <n v="1025"/>
    <s v="Harish"/>
    <s v="Kumar"/>
    <s v="Harish Kumar"/>
    <s v="harish.kumar@example.com"/>
    <x v="4"/>
    <s v="Business Analyst"/>
    <s v="Pune"/>
    <s v="Maharashtra"/>
    <x v="0"/>
    <s v="Full-Time"/>
    <n v="2020"/>
    <n v="6"/>
    <n v="67000"/>
    <n v="12"/>
    <n v="8040"/>
    <n v="85"/>
    <s v="Good"/>
    <s v="Active"/>
    <m/>
    <s v="Excel;SQL;Power BI;Process Management"/>
    <x v="1"/>
    <n v="10"/>
  </r>
  <r>
    <n v="1026"/>
    <s v="Keerthi"/>
    <s v="Ramesh"/>
    <s v="Keerthi Ramesh"/>
    <s v="keerthi.ramesh@example.com"/>
    <x v="0"/>
    <s v="Machine Learning Engineer"/>
    <s v="Bengaluru"/>
    <s v="Karnataka"/>
    <x v="1"/>
    <s v="Full-Time"/>
    <n v="2019"/>
    <n v="7"/>
    <n v="98000"/>
    <n v="15"/>
    <n v="14700"/>
    <n v="97"/>
    <s v="Excellent"/>
    <s v="Active"/>
    <s v="B.Tech"/>
    <s v="Python;SQL;Cloud;Git;Spark"/>
    <x v="4"/>
    <n v="6"/>
  </r>
  <r>
    <n v="1027"/>
    <s v="Sanjay"/>
    <s v="Das"/>
    <s v="Sanjay Das"/>
    <s v="sanjay.das@example.com"/>
    <x v="2"/>
    <s v="Senior Financial Analyst"/>
    <s v="Kolkata"/>
    <s v="West Bengal"/>
    <x v="0"/>
    <s v="Full-Time"/>
    <n v="2018"/>
    <n v="8"/>
    <n v="79000"/>
    <n v="12"/>
    <n v="9480"/>
    <n v="86"/>
    <s v="Good"/>
    <s v="Active"/>
    <s v="M.Com"/>
    <s v="Excel;Accounting;Power BI;Financial Analysis"/>
    <x v="7"/>
    <n v="12"/>
  </r>
  <r>
    <n v="1028"/>
    <s v="Maya"/>
    <s v="Thomas"/>
    <s v="Maya Thomas"/>
    <s v="maya.thomas@example.com"/>
    <x v="1"/>
    <s v="Talent Acquisition Specialist"/>
    <s v="Kochi"/>
    <s v="Kerala"/>
    <x v="0"/>
    <s v="Full-Time"/>
    <n v="2020"/>
    <n v="6"/>
    <n v="61000"/>
    <n v="12"/>
    <n v="7320"/>
    <n v="90"/>
    <s v="Excellent"/>
    <s v="Active"/>
    <s v="MBA"/>
    <s v="Recruitment;Excel;HRIS;Communication"/>
    <x v="1"/>
    <n v="8"/>
  </r>
  <r>
    <n v="1029"/>
    <s v="Ajay"/>
    <s v="Rajan"/>
    <s v="Ajay Rajan"/>
    <s v="ajay.rajan@example.com"/>
    <x v="0"/>
    <s v="Full Stack Developer"/>
    <s v="Chennai"/>
    <s v="Tamil Nadu"/>
    <x v="2"/>
    <s v="Full-Time"/>
    <n v="2021"/>
    <n v="5"/>
    <n v="73000"/>
    <n v="8"/>
    <n v="5840"/>
    <n v="80"/>
    <s v="Good"/>
    <s v="Active"/>
    <s v="B.Tech"/>
    <s v="Python;SQL;Cloud;Git;Spark"/>
    <x v="7"/>
    <n v="14"/>
  </r>
  <r>
    <n v="1030"/>
    <s v="Roshini"/>
    <s v="Paul"/>
    <s v="Roshini Paul"/>
    <s v="roshini.paul@example.com"/>
    <x v="5"/>
    <s v="Content Strategist"/>
    <s v="Kochi"/>
    <s v="Kerala"/>
    <x v="1"/>
    <s v="Full-Time"/>
    <n v="2022"/>
    <n v="4"/>
    <n v="59000"/>
    <n v="12"/>
    <n v="7080"/>
    <n v="87"/>
    <s v="Good"/>
    <s v="Active"/>
    <s v="MBA"/>
    <s v="SEO;Google Analytics;Content;Social Media"/>
    <x v="3"/>
    <n v="11"/>
  </r>
  <r>
    <n v="1031"/>
    <s v="Bharath"/>
    <s v="Rao"/>
    <s v="Bharath Rao"/>
    <s v="bharath.rao@example.com"/>
    <x v="0"/>
    <s v="Cloud Architect"/>
    <s v="Hyderabad"/>
    <s v="Telangana"/>
    <x v="0"/>
    <s v="Full-Time"/>
    <n v="2016"/>
    <n v="10"/>
    <n v="125000"/>
    <n v="15"/>
    <n v="18750"/>
    <n v="95"/>
    <s v="Excellent"/>
    <s v="Active"/>
    <s v="B.Tech"/>
    <s v="Python;SQL;Cloud;Git;Spark"/>
    <x v="8"/>
    <n v="7"/>
  </r>
  <r>
    <n v="1032"/>
    <s v="Ishita"/>
    <s v="Roy"/>
    <s v="Ishita Roy"/>
    <s v="ishita.roy@example.com"/>
    <x v="2"/>
    <s v="Financial Analyst"/>
    <s v="Kolkata"/>
    <s v="West Bengal"/>
    <x v="2"/>
    <s v="Full-Time"/>
    <n v="2022"/>
    <n v="4"/>
    <n v="60000"/>
    <n v="8"/>
    <n v="4800"/>
    <n v="78"/>
    <s v="Average"/>
    <s v="Active"/>
    <s v="M.Com"/>
    <s v="Excel;Accounting;Power BI;Financial Analysis"/>
    <x v="3"/>
    <n v="15"/>
  </r>
  <r>
    <n v="1033"/>
    <s v="Naveen"/>
    <s v="Kumar"/>
    <s v="Naveen Kumar"/>
    <s v="naveen.kumar@example.com"/>
    <x v="3"/>
    <s v="Regional Sales Manager"/>
    <s v="Pune"/>
    <s v="Maharashtra"/>
    <x v="0"/>
    <s v="Full-Time"/>
    <n v="2017"/>
    <n v="9"/>
    <n v="98000"/>
    <n v="15"/>
    <n v="14700"/>
    <n v="93"/>
    <s v="Excellent"/>
    <s v="Active"/>
    <s v="MBA"/>
    <s v="CRM;Negotiation;Excel;Communication"/>
    <x v="2"/>
    <n v="9"/>
  </r>
  <r>
    <n v="1034"/>
    <s v="Harini"/>
    <s v="S"/>
    <s v="Harini S"/>
    <s v="harini.s@example.com"/>
    <x v="0"/>
    <s v="QA Engineer"/>
    <s v="Chennai"/>
    <s v="Tamil Nadu"/>
    <x v="2"/>
    <s v="Full-Time"/>
    <n v="2023"/>
    <n v="3"/>
    <n v="52000"/>
    <n v="8"/>
    <n v="4160"/>
    <n v="75"/>
    <s v="Average"/>
    <s v="Active"/>
    <s v="B.Tech"/>
    <s v="Python;SQL;Cloud;Git;Spark"/>
    <x v="0"/>
    <n v="18"/>
  </r>
  <r>
    <n v="1035"/>
    <s v="Mohan"/>
    <s v="Raj"/>
    <s v="Mohan Raj"/>
    <s v="mohan.raj@example.com"/>
    <x v="4"/>
    <s v="Supply Chain Analyst"/>
    <s v="Coimbatore"/>
    <s v="Tamil Nadu"/>
    <x v="0"/>
    <s v="Full-Time"/>
    <n v="2021"/>
    <n v="5"/>
    <n v="62000"/>
    <n v="8"/>
    <n v="4960"/>
    <n v="83"/>
    <s v="Good"/>
    <s v="Active"/>
    <s v="MBA"/>
    <s v="Excel;SQL;Power BI;Process Management"/>
    <x v="7"/>
    <m/>
  </r>
  <r>
    <n v="1036"/>
    <s v="Aparna"/>
    <s v="Krish"/>
    <s v="Aparna Krish"/>
    <s v="aparna.krish@example.com"/>
    <x v="1"/>
    <s v="Learning Specialist"/>
    <s v="Bengaluru"/>
    <s v="Karnataka"/>
    <x v="1"/>
    <s v="Full-Time"/>
    <n v="2022"/>
    <n v="4"/>
    <n v="56000"/>
    <n v="12"/>
    <n v="6720"/>
    <n v="88"/>
    <s v="Good"/>
    <s v="Active"/>
    <s v="MBA"/>
    <s v="Recruitment;Excel;HRIS;Communication"/>
    <x v="3"/>
    <n v="10"/>
  </r>
  <r>
    <n v="1037"/>
    <s v="Dinesh"/>
    <s v="Yadav"/>
    <s v="Dinesh Yadav"/>
    <s v="dinesh.yadav@example.com"/>
    <x v="0"/>
    <s v="Network Engineer"/>
    <s v="Delhi"/>
    <s v="Delhi"/>
    <x v="2"/>
    <s v="Full-Time"/>
    <n v="2019"/>
    <n v="7"/>
    <n v="72000"/>
    <n v="8"/>
    <n v="5760"/>
    <n v="84"/>
    <s v="Good"/>
    <s v="Active"/>
    <s v="B.Tech"/>
    <s v="Python;SQL;Cloud;Git;Spark"/>
    <x v="1"/>
    <n v="12"/>
  </r>
  <r>
    <n v="1038"/>
    <s v="Sangeetha"/>
    <s v="M"/>
    <s v="Sangeetha M"/>
    <s v="sangeetha.m@example.com"/>
    <x v="5"/>
    <s v="Marketing Manager"/>
    <s v="Bengaluru"/>
    <s v="Karnataka"/>
    <x v="0"/>
    <s v="Full-Time"/>
    <n v="2018"/>
    <n v="8"/>
    <n v="88000"/>
    <n v="15"/>
    <n v="13200"/>
    <n v="92"/>
    <s v="Excellent"/>
    <s v="Active"/>
    <s v="MBA"/>
    <s v="SEO;Google Analytics;Content;Social Media"/>
    <x v="5"/>
    <n v="8"/>
  </r>
  <r>
    <n v="1039"/>
    <s v="Prakash"/>
    <s v="N"/>
    <s v="Prakash N"/>
    <s v="prakash.n@example.com"/>
    <x v="0"/>
    <s v="Data Analyst"/>
    <s v="Chennai"/>
    <s v="Tamil Nadu"/>
    <x v="0"/>
    <s v="Full-Time"/>
    <n v="2023"/>
    <n v="3"/>
    <n v="56000"/>
    <n v="12"/>
    <n v="6720"/>
    <n v="86"/>
    <s v="Good"/>
    <s v="Active"/>
    <s v="B.Tech"/>
    <s v="Python;SQL;Cloud;Git;Spark"/>
    <x v="3"/>
    <n v="15"/>
  </r>
  <r>
    <n v="1040"/>
    <s v="Gayathri"/>
    <s v="K"/>
    <s v="Gayathri K"/>
    <s v="gayathri.k@example.com"/>
    <x v="2"/>
    <s v="Accounts Executive"/>
    <s v="Madurai"/>
    <s v="Tamil Nadu"/>
    <x v="2"/>
    <s v="Full-Time"/>
    <n v="2024"/>
    <n v="2"/>
    <n v="44000"/>
    <n v="5"/>
    <n v="2200"/>
    <n v="74"/>
    <s v="Average"/>
    <s v="Active"/>
    <s v="M.Com"/>
    <s v="Excel;Accounting;Power BI;Financial Analysis"/>
    <x v="0"/>
    <n v="17"/>
  </r>
  <r>
    <n v="1041"/>
    <s v="Rohit"/>
    <s v="Mehta"/>
    <s v="Rohit Mehta"/>
    <s v="rohit.mehta@example.com"/>
    <x v="3"/>
    <s v="Account Manager"/>
    <s v="Mumbai"/>
    <s v="Maharashtra"/>
    <x v="0"/>
    <s v="Full-Time"/>
    <n v="2020"/>
    <n v="6"/>
    <n v="82000"/>
    <n v="12"/>
    <n v="9840"/>
    <n v="89"/>
    <s v="Good"/>
    <s v="Active"/>
    <s v="MBA"/>
    <s v="CRM;Negotiation;Excel;Communication"/>
    <x v="1"/>
    <n v="9"/>
  </r>
  <r>
    <n v="1042"/>
    <s v="Janani"/>
    <s v="R"/>
    <s v="Janani R"/>
    <s v="janani.r@example.com"/>
    <x v="0"/>
    <s v="Power BI Developer"/>
    <s v="Chennai"/>
    <s v="Tamil Nadu"/>
    <x v="1"/>
    <s v="Full-Time"/>
    <n v="2021"/>
    <n v="5"/>
    <n v="68000"/>
    <n v="15"/>
    <n v="10200"/>
    <n v="94"/>
    <s v="Excellent"/>
    <s v="Active"/>
    <s v="B.Tech"/>
    <s v="Python;SQL;Cloud;Git;Spark"/>
    <x v="5"/>
    <n v="7"/>
  </r>
  <r>
    <n v="1043"/>
    <s v="Faizal"/>
    <s v="Ahmed"/>
    <s v="Faizal Ahmed"/>
    <s v="faizal.ahmed@example.com"/>
    <x v="4"/>
    <s v="Operations Analyst"/>
    <s v="Bengaluru"/>
    <s v="Karnataka"/>
    <x v="2"/>
    <s v="Full-Time"/>
    <n v="2022"/>
    <n v="4"/>
    <n v="58000"/>
    <n v="8"/>
    <n v="4640"/>
    <n v="81"/>
    <s v="Good"/>
    <s v="Active"/>
    <s v="MBA"/>
    <s v="Excel;SQL;Power BI;Process Management"/>
    <x v="3"/>
    <n v="14"/>
  </r>
  <r>
    <n v="1044"/>
    <s v="Swetha"/>
    <s v="R"/>
    <s v="Swetha R"/>
    <s v="swetha.r@example.com"/>
    <x v="1"/>
    <s v="HR Business Partner"/>
    <s v="Hyderabad"/>
    <s v="Telangana"/>
    <x v="0"/>
    <s v="Full-Time"/>
    <n v="2018"/>
    <n v="8"/>
    <n v="85000"/>
    <n v="12"/>
    <n v="10200"/>
    <n v="91"/>
    <s v="Excellent"/>
    <s v="Active"/>
    <s v="MBA"/>
    <s v="Recruitment;Excel;HRIS;Communication"/>
    <x v="5"/>
    <n v="6"/>
  </r>
  <r>
    <n v="1045"/>
    <s v="Ashwin"/>
    <s v="Kumar"/>
    <s v="Ashwin Kumar"/>
    <s v="ashwin.kumar@example.com"/>
    <x v="0"/>
    <s v="Site Reliability Engineer"/>
    <s v="Pune"/>
    <s v="Maharashtra"/>
    <x v="1"/>
    <s v="Full-Time"/>
    <n v="2017"/>
    <n v="9"/>
    <n v="102000"/>
    <n v="15"/>
    <n v="15300"/>
    <n v="96"/>
    <s v="Excellent"/>
    <s v="Active"/>
    <s v="B.Tech"/>
    <s v="Python;SQL;Cloud;Git;Spark"/>
    <x v="4"/>
    <n v="5"/>
  </r>
  <r>
    <n v="1046"/>
    <s v="Monica"/>
    <s v="D"/>
    <s v="Monica D"/>
    <s v="monica.d@example.com"/>
    <x v="2"/>
    <s v="Financial Controller"/>
    <s v="Mumbai"/>
    <s v="Maharashtra"/>
    <x v="2"/>
    <s v="Full-Time"/>
    <n v="2016"/>
    <n v="10"/>
    <n v="110000"/>
    <n v="15"/>
    <n v="16500"/>
    <n v="94"/>
    <s v="Excellent"/>
    <s v="Active"/>
    <s v="M.Com"/>
    <s v="Excel;Accounting;Power BI;Financial Analysis"/>
    <x v="2"/>
    <n v="8"/>
  </r>
  <r>
    <n v="1047"/>
    <s v="Tarun"/>
    <s v="Shah"/>
    <s v="Tarun Shah"/>
    <s v="tarun.shah@example.com"/>
    <x v="3"/>
    <s v="Sales Executive"/>
    <s v="Ahmedabad"/>
    <s v="Gujarat"/>
    <x v="2"/>
    <s v="Full-Time"/>
    <n v="2024"/>
    <n v="2"/>
    <n v="43000"/>
    <n v="5"/>
    <n v="2150"/>
    <n v="69"/>
    <s v="Needs Improvement"/>
    <s v="Active"/>
    <s v="MBA"/>
    <s v="CRM;Negotiation;Excel;Communication"/>
    <x v="0"/>
    <n v="18"/>
  </r>
  <r>
    <n v="1048"/>
    <s v="Revathi"/>
    <s v="S"/>
    <s v="Revathi S"/>
    <s v="revathi.s@example.com"/>
    <x v="0"/>
    <s v="ETL Developer"/>
    <s v="Coimbatore"/>
    <s v="Tamil Nadu"/>
    <x v="0"/>
    <s v="Full-Time"/>
    <n v="2020"/>
    <n v="6"/>
    <n v="69000"/>
    <n v="12"/>
    <n v="8280"/>
    <n v="87"/>
    <s v="Good"/>
    <s v="Active"/>
    <s v="B.Tech"/>
    <s v="Python;SQL;Cloud;Git;Spark"/>
    <x v="1"/>
    <n v="11"/>
  </r>
  <r>
    <n v="1049"/>
    <s v="Imran"/>
    <s v="Khan"/>
    <s v="Imran Khan"/>
    <s v="imran.khan@example.com"/>
    <x v="4"/>
    <s v="Project Coordinator"/>
    <s v="Hyderabad"/>
    <s v="Telangana"/>
    <x v="0"/>
    <s v="Full-Time"/>
    <n v="2021"/>
    <n v="5"/>
    <n v="60000"/>
    <n v="12"/>
    <n v="7200"/>
    <n v="85"/>
    <s v="Good"/>
    <s v="Active"/>
    <s v="MBA"/>
    <s v="Excel;SQL;Power BI;Process Management"/>
    <x v="7"/>
    <n v="13"/>
  </r>
  <r>
    <n v="1050"/>
    <s v="Kavya"/>
    <s v="R"/>
    <s v="Kavya R"/>
    <s v="kavya.r@example.com"/>
    <x v="5"/>
    <s v="Brand Manager"/>
    <s v="Bengaluru"/>
    <s v="Karnataka"/>
    <x v="1"/>
    <s v="Full-Time"/>
    <n v="2019"/>
    <n v="7"/>
    <n v="81000"/>
    <n v="12"/>
    <n v="9720"/>
    <n v="90"/>
    <s v="Excellent"/>
    <s v="Active"/>
    <s v="MBA"/>
    <s v="SEO;Google Analytics;Content;Social Media"/>
    <x v="5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run"/>
    <s v="Kumar"/>
    <s v="Arun Kumar"/>
    <s v="arun.kumar@example.com"/>
    <s v="IT"/>
    <s v="Data Engineer"/>
    <s v="Chennai"/>
    <x v="0"/>
    <s v="Hybrid"/>
    <s v="Full-Time"/>
    <n v="2019"/>
    <n v="7"/>
    <n v="65000"/>
    <n v="12"/>
    <n v="7800"/>
    <n v="88"/>
    <s v="Good"/>
    <s v="Active"/>
    <s v="B.Tech"/>
    <s v="Python;SQL;Cloud;Git;Spark"/>
    <n v="2"/>
    <n v="12"/>
    <n v="16"/>
  </r>
  <r>
    <n v="1002"/>
    <s v="Priya"/>
    <s v="Sharma"/>
    <s v="Priya Sharma"/>
    <s v="priya.sharma@example.com"/>
    <s v="HR"/>
    <s v="HR Manager"/>
    <s v="Bengaluru"/>
    <x v="1"/>
    <s v="Hybrid"/>
    <s v="Full-Time"/>
    <n v="2018"/>
    <n v="8"/>
    <n v="75000"/>
    <n v="15"/>
    <n v="11250"/>
    <n v="92"/>
    <s v="Excellent"/>
    <s v="Active"/>
    <s v="MBA"/>
    <s v="Recruitment;Excel;HRIS;Communication"/>
    <n v="5"/>
    <n v="8"/>
    <n v="16"/>
  </r>
  <r>
    <n v="1003"/>
    <s v="David"/>
    <s v="Wilson"/>
    <s v="David Wilson"/>
    <s v="david.wilson@example.com"/>
    <s v="IT"/>
    <s v="Senior Data Engineer"/>
    <s v="Chennai"/>
    <x v="0"/>
    <s v="Remote"/>
    <s v="Full-Time"/>
    <n v="2017"/>
    <n v="9"/>
    <n v="90000"/>
    <n v="15"/>
    <n v="13500"/>
    <n v="95"/>
    <s v="Excellent"/>
    <s v="Active"/>
    <s v="B.Tech"/>
    <s v="Python;SQL;Cloud;Git;Spark"/>
    <n v="7"/>
    <n v="10"/>
    <n v="16"/>
  </r>
  <r>
    <n v="1004"/>
    <s v="Meena"/>
    <s v="Ravi"/>
    <s v="Meena Ravi"/>
    <s v="meena.ravi@example.com"/>
    <s v="Finance"/>
    <s v="Financial Analyst"/>
    <s v="Hyderabad"/>
    <x v="2"/>
    <s v="Office"/>
    <s v="Full-Time"/>
    <n v="2020"/>
    <n v="6"/>
    <n v="65000"/>
    <n v="8"/>
    <n v="5200"/>
    <n v="78"/>
    <s v="Average"/>
    <s v="Active"/>
    <s v="M.Com"/>
    <s v="Excel;Accounting;Power BI;Financial Analysis"/>
    <n v="3"/>
    <n v="15"/>
    <n v="16"/>
  </r>
  <r>
    <n v="1005"/>
    <s v="Rahul"/>
    <s v="Verma"/>
    <s v="Rahul Verma"/>
    <s v="rahul.verma@example.com"/>
    <s v="IT"/>
    <s v="Cloud Engineer"/>
    <s v="Bengaluru"/>
    <x v="1"/>
    <s v="Hybrid"/>
    <s v="Full-Time"/>
    <n v="2016"/>
    <n v="10"/>
    <n v="95000"/>
    <n v="12"/>
    <n v="11400"/>
    <n v="91"/>
    <s v="Excellent"/>
    <s v="Active"/>
    <s v="B.Tech"/>
    <s v="Python;SQL;Cloud;Git;Spark"/>
    <n v="8"/>
    <n v="9"/>
    <n v="16"/>
  </r>
  <r>
    <n v="1006"/>
    <s v="Sneha"/>
    <s v="Iyer"/>
    <s v="Sneha Iyer"/>
    <s v="sneha.iyer@example.com"/>
    <s v="Finance"/>
    <s v="Finance Manager"/>
    <s v="Chennai"/>
    <x v="0"/>
    <s v="Office"/>
    <s v="Full-Time"/>
    <n v="2017"/>
    <n v="9"/>
    <n v="85000"/>
    <n v="12"/>
    <n v="10200"/>
    <n v="89"/>
    <s v="Good"/>
    <s v="Active"/>
    <s v="M.Com"/>
    <s v="Excel;Accounting;Power BI;Financial Analysis"/>
    <n v="6"/>
    <n v="11"/>
    <n v="16"/>
  </r>
  <r>
    <n v="1007"/>
    <s v="Kiran"/>
    <s v="Reddy"/>
    <s v="Kiran Reddy"/>
    <s v="kiran.reddy@example.com"/>
    <s v="Sales"/>
    <s v="Sales Executive"/>
    <s v="Hyderabad"/>
    <x v="2"/>
    <s v="Office"/>
    <s v="Full-Time"/>
    <n v="2024"/>
    <n v="2"/>
    <n v="45000"/>
    <n v="5"/>
    <n v="2250"/>
    <n v="72"/>
    <s v="Average"/>
    <s v="Active"/>
    <s v="MBA"/>
    <s v="CRM;Negotiation;Excel;Communication"/>
    <n v="1"/>
    <n v="18"/>
    <n v="16"/>
  </r>
  <r>
    <n v="1008"/>
    <s v="Anitha"/>
    <s v="Joseph"/>
    <s v="Anitha Joseph"/>
    <m/>
    <s v="Sales"/>
    <s v="Sales Manager"/>
    <s v="Bengaluru"/>
    <x v="1"/>
    <s v="Hybrid"/>
    <s v="Full-Time"/>
    <n v="2019"/>
    <n v="7"/>
    <n v="78000"/>
    <n v="12"/>
    <n v="9360"/>
    <n v="86"/>
    <s v="Good"/>
    <s v="Active"/>
    <s v="MBA"/>
    <s v="CRM;Negotiation;Excel;Communication"/>
    <n v="5"/>
    <n v="7"/>
    <n v="16"/>
  </r>
  <r>
    <n v="1009"/>
    <s v="Vijay"/>
    <s v="Kumar"/>
    <s v="Vijay Kumar"/>
    <s v="vijay.kumar@example.com"/>
    <s v="IT"/>
    <s v="DevOps Engineer"/>
    <s v="Chennai"/>
    <x v="0"/>
    <s v="Remote"/>
    <s v="Full-Time"/>
    <n v="2018"/>
    <n v="8"/>
    <n v="88000"/>
    <n v="15"/>
    <n v="13200"/>
    <n v="94"/>
    <s v="Excellent"/>
    <s v="Active"/>
    <s v="B.Tech"/>
    <s v="Python;SQL;Cloud;Git;Spark"/>
    <n v="7"/>
    <n v="6"/>
    <n v="16"/>
  </r>
  <r>
    <n v="1010"/>
    <s v="Divya"/>
    <s v="Nair"/>
    <s v="Divya Nair"/>
    <s v="divya.nair@example.com"/>
    <s v="HR"/>
    <s v="Recruiter"/>
    <s v="Kochi"/>
    <x v="3"/>
    <s v="Hybrid"/>
    <s v="Full-Time"/>
    <n v="2021"/>
    <n v="5"/>
    <n v="52000"/>
    <n v="8"/>
    <n v="4160"/>
    <n v="83"/>
    <s v="Good"/>
    <s v="Active"/>
    <s v="MBA"/>
    <s v="Recruitment;Excel;HRIS;Communication"/>
    <n v="4"/>
    <n v="14"/>
    <n v="16"/>
  </r>
  <r>
    <n v="1011"/>
    <s v="John"/>
    <s v="Mathew"/>
    <s v="John Mathew"/>
    <s v="john.mathew@example.com"/>
    <s v="IT"/>
    <s v="Software Engineer"/>
    <s v="Pune"/>
    <x v="4"/>
    <s v="Hybrid"/>
    <s v="Full-Time"/>
    <n v="2022"/>
    <n v="4"/>
    <n v="60000"/>
    <n v="8"/>
    <n v="4800"/>
    <n v="81"/>
    <s v="Good"/>
    <s v="Active"/>
    <s v="B.Tech"/>
    <s v="Python;SQL;Cloud;Git;Spark"/>
    <n v="3"/>
    <n v="13"/>
    <n v="16"/>
  </r>
  <r>
    <n v="1012"/>
    <s v="Lakshmi"/>
    <s v="Devi"/>
    <s v="Lakshmi Devi"/>
    <s v="lakshmi.devi@example.com"/>
    <s v="Finance"/>
    <s v="Senior Accountant"/>
    <s v="Chennai"/>
    <x v="0"/>
    <s v="Office"/>
    <s v="Full-Time"/>
    <n v="2019"/>
    <n v="7"/>
    <n v="72000"/>
    <n v="12"/>
    <n v="8640"/>
    <n v="90"/>
    <s v="Excellent"/>
    <s v="Active"/>
    <s v="M.Com"/>
    <s v="Excel;Accounting;Power BI;Financial Analysis"/>
    <n v="6"/>
    <n v="9"/>
    <n v="16"/>
  </r>
  <r>
    <n v="1013"/>
    <s v="Suresh"/>
    <s v="Babu"/>
    <s v="Suresh Babu"/>
    <s v="suresh.babu@example.com"/>
    <s v="Operations"/>
    <s v="Operations Manager"/>
    <s v="Hyderabad"/>
    <x v="2"/>
    <s v="Office"/>
    <s v="Full-Time"/>
    <n v="2016"/>
    <n v="10"/>
    <n v="82000"/>
    <n v="12"/>
    <n v="9840"/>
    <n v="87"/>
    <s v="Good"/>
    <s v="Active"/>
    <s v="MBA"/>
    <s v="Excel;SQL;Power BI;Process Management"/>
    <n v="7"/>
    <n v="8"/>
    <n v="16"/>
  </r>
  <r>
    <n v="1014"/>
    <s v="Nandhini"/>
    <s v="Raj"/>
    <s v="Nandhini Raj"/>
    <s v="nandhini.raj@example.com"/>
    <s v="Marketing"/>
    <s v="Marketing Executive"/>
    <s v="Chennai"/>
    <x v="0"/>
    <s v="Hybrid"/>
    <s v="Full-Time"/>
    <n v="2022"/>
    <n v="4"/>
    <n v="55000"/>
    <n v="8"/>
    <n v="4400"/>
    <n v="79"/>
    <s v="Average"/>
    <s v="Active"/>
    <s v="MBA"/>
    <s v="SEO;Google Analytics;Content;Social Media"/>
    <n v="3"/>
    <n v="16"/>
    <n v="16"/>
  </r>
  <r>
    <n v="1015"/>
    <s v="Ravi"/>
    <s v="Prakash"/>
    <s v="Ravi Prakash"/>
    <s v="ravi.prakash@example.com"/>
    <s v="IT"/>
    <s v="Python Developer"/>
    <s v="Pune"/>
    <x v="4"/>
    <s v="Remote"/>
    <s v="Full-Time"/>
    <n v="2020"/>
    <n v="6"/>
    <n v="70000"/>
    <n v="15"/>
    <n v="10500"/>
    <n v="93"/>
    <s v="Excellent"/>
    <s v="Active"/>
    <s v="B.Tech"/>
    <s v="Python;SQL;Cloud;Git;Spark"/>
    <n v="5"/>
    <n v="10"/>
    <n v="16"/>
  </r>
  <r>
    <n v="1016"/>
    <s v="Asha"/>
    <s v="Menon"/>
    <s v="Asha Menon"/>
    <s v="asha.menon@example.com"/>
    <s v="HR"/>
    <s v="HR Executive"/>
    <s v="Kochi"/>
    <x v="3"/>
    <s v="Office"/>
    <s v="Full-Time"/>
    <n v="2023"/>
    <n v="3"/>
    <n v="48000"/>
    <n v="8"/>
    <n v="3840"/>
    <n v="76"/>
    <s v="Average"/>
    <s v="Active"/>
    <s v="MBA"/>
    <s v="Recruitment;Excel;HRIS;Communication"/>
    <n v="2"/>
    <n v="19"/>
    <n v="16"/>
  </r>
  <r>
    <n v="1017"/>
    <s v="Manoj"/>
    <s v="Singh"/>
    <s v="Manoj Singh"/>
    <s v="manoj.singh@example.com"/>
    <s v="Sales"/>
    <s v="Business Development Executive"/>
    <s v="Delhi"/>
    <x v="5"/>
    <s v="Hybrid"/>
    <s v="Full-Time"/>
    <n v="2021"/>
    <n v="5"/>
    <n v="58000"/>
    <n v="8"/>
    <n v="4640"/>
    <n v="84"/>
    <s v="Good"/>
    <s v="Active"/>
    <s v="MBA"/>
    <m/>
    <n v="4"/>
    <n v="12"/>
    <n v="16"/>
  </r>
  <r>
    <n v="1018"/>
    <s v="Deepa"/>
    <s v="Krishnan"/>
    <s v="Deepa Krishnan"/>
    <s v="deepa.krishnan@example.com"/>
    <s v="IT"/>
    <s v="BI Developer"/>
    <s v="Bengaluru"/>
    <x v="1"/>
    <s v="Hybrid"/>
    <s v="Full-Time"/>
    <n v="2019"/>
    <n v="7"/>
    <n v="76000"/>
    <n v="12"/>
    <n v="9120"/>
    <n v="89"/>
    <s v="Good"/>
    <s v="Active"/>
    <s v="B.Tech"/>
    <s v="Python;SQL;Cloud;Git;Spark"/>
    <n v="6"/>
    <n v="11"/>
    <n v="16"/>
  </r>
  <r>
    <n v="1019"/>
    <s v="Gokul"/>
    <s v="Raj"/>
    <s v="Gokul Raj"/>
    <s v="gokul.raj@example.com"/>
    <s v="Operations"/>
    <s v="Operations Executive"/>
    <s v="Coimbatore"/>
    <x v="0"/>
    <s v="Office"/>
    <s v="Full-Time"/>
    <n v="2023"/>
    <n v="3"/>
    <n v="47000"/>
    <n v="5"/>
    <n v="2350"/>
    <n v="73"/>
    <s v="Average"/>
    <s v="Active"/>
    <s v="MBA"/>
    <s v="Excel;SQL;Power BI;Process Management"/>
    <n v="2"/>
    <n v="17"/>
    <n v="16"/>
  </r>
  <r>
    <n v="1020"/>
    <s v="Swathi"/>
    <s v="Rao"/>
    <s v="Swathi Rao"/>
    <s v="swathi.rao@example.com"/>
    <s v="Marketing"/>
    <s v="Digital Marketing Specialist"/>
    <s v="Hyderabad"/>
    <x v="2"/>
    <s v="Remote"/>
    <s v="Full-Time"/>
    <n v="2020"/>
    <n v="6"/>
    <n v="68000"/>
    <n v="12"/>
    <n v="8160"/>
    <n v="91"/>
    <s v="Excellent"/>
    <s v="Active"/>
    <s v="MBA"/>
    <s v="SEO;Google Analytics;Content;Social Media"/>
    <n v="5"/>
    <n v="7"/>
    <n v="16"/>
  </r>
  <r>
    <n v="1021"/>
    <s v="Karthik"/>
    <s v="Mohan"/>
    <s v="Karthik Mohan"/>
    <s v="karthik.mohan@example.com"/>
    <s v="IT"/>
    <s v="Azure Data Engineer"/>
    <s v="Chennai"/>
    <x v="0"/>
    <s v="Hybrid"/>
    <s v="Full-Time"/>
    <n v="2018"/>
    <n v="8"/>
    <n v="92000"/>
    <n v="15"/>
    <n v="13800"/>
    <n v="96"/>
    <s v="Excellent"/>
    <s v="Active"/>
    <s v="B.Tech"/>
    <s v="Python;SQL;Cloud;Git;Spark"/>
    <n v="8"/>
    <n v="8"/>
    <n v="16"/>
  </r>
  <r>
    <n v="1022"/>
    <s v="Neha"/>
    <s v="Gupta"/>
    <s v="Neha Gupta"/>
    <s v="neha.gupta@example.com"/>
    <s v="Finance"/>
    <s v="Finance Executive"/>
    <s v="Delhi"/>
    <x v="5"/>
    <s v="Office"/>
    <s v="Full-Time"/>
    <n v="2021"/>
    <n v="5"/>
    <n v="57000"/>
    <n v="8"/>
    <n v="4560"/>
    <n v="82"/>
    <s v="Good"/>
    <s v="Active"/>
    <s v="M.Com"/>
    <s v="Excel;Accounting;Power BI;Financial Analysis"/>
    <n v="3"/>
    <n v="13"/>
    <n v="16"/>
  </r>
  <r>
    <n v="1023"/>
    <s v="Vishnu"/>
    <s v="Menon"/>
    <s v="Vishnu Menon"/>
    <s v="vishnu.menon@example.com"/>
    <s v="IT"/>
    <s v="Database Administrator"/>
    <s v="Kochi"/>
    <x v="3"/>
    <s v="Hybrid"/>
    <s v="Full-Time"/>
    <n v="2017"/>
    <n v="9"/>
    <n v="84000"/>
    <n v="12"/>
    <n v="10080"/>
    <n v="88"/>
    <s v="Good"/>
    <s v="Active"/>
    <s v="B.Tech"/>
    <s v="Python;SQL;Cloud;Git;Spark"/>
    <n v="6"/>
    <n v="9"/>
    <n v="16"/>
  </r>
  <r>
    <n v="1024"/>
    <s v="Pooja"/>
    <s v="Patel"/>
    <s v="Pooja Patel"/>
    <s v="pooja.patel@example.com"/>
    <s v="Sales"/>
    <s v="Sales Executive"/>
    <s v="Ahmedabad"/>
    <x v="6"/>
    <s v="Office"/>
    <s v="Full-Time"/>
    <n v="2023"/>
    <n v="3"/>
    <n v="46000"/>
    <n v="5"/>
    <n v="2300"/>
    <n v="71"/>
    <s v="Average"/>
    <s v="Active"/>
    <s v="MBA"/>
    <s v="CRM;Negotiation;Excel;Communication"/>
    <n v="2"/>
    <n v="16"/>
    <n v="16"/>
  </r>
  <r>
    <n v="1025"/>
    <s v="Harish"/>
    <s v="Kumar"/>
    <s v="Harish Kumar"/>
    <s v="harish.kumar@example.com"/>
    <s v="Operations"/>
    <s v="Business Analyst"/>
    <s v="Pune"/>
    <x v="4"/>
    <s v="Hybrid"/>
    <s v="Full-Time"/>
    <n v="2020"/>
    <n v="6"/>
    <n v="67000"/>
    <n v="12"/>
    <n v="8040"/>
    <n v="85"/>
    <s v="Good"/>
    <s v="Active"/>
    <m/>
    <s v="Excel;SQL;Power BI;Process Management"/>
    <n v="5"/>
    <n v="10"/>
    <n v="16"/>
  </r>
  <r>
    <n v="1026"/>
    <s v="Keerthi"/>
    <s v="Ramesh"/>
    <s v="Keerthi Ramesh"/>
    <s v="keerthi.ramesh@example.com"/>
    <s v="IT"/>
    <s v="Machine Learning Engineer"/>
    <s v="Bengaluru"/>
    <x v="1"/>
    <s v="Remote"/>
    <s v="Full-Time"/>
    <n v="2019"/>
    <n v="7"/>
    <n v="98000"/>
    <n v="15"/>
    <n v="14700"/>
    <n v="97"/>
    <s v="Excellent"/>
    <s v="Active"/>
    <s v="B.Tech"/>
    <s v="Python;SQL;Cloud;Git;Spark"/>
    <n v="8"/>
    <n v="6"/>
    <n v="16"/>
  </r>
  <r>
    <n v="1027"/>
    <s v="Sanjay"/>
    <s v="Das"/>
    <s v="Sanjay Das"/>
    <s v="sanjay.das@example.com"/>
    <s v="Finance"/>
    <s v="Senior Financial Analyst"/>
    <s v="Kolkata"/>
    <x v="7"/>
    <s v="Hybrid"/>
    <s v="Full-Time"/>
    <n v="2018"/>
    <n v="8"/>
    <n v="79000"/>
    <n v="12"/>
    <n v="9480"/>
    <n v="86"/>
    <s v="Good"/>
    <s v="Active"/>
    <s v="M.Com"/>
    <s v="Excel;Accounting;Power BI;Financial Analysis"/>
    <n v="4"/>
    <n v="12"/>
    <n v="16"/>
  </r>
  <r>
    <n v="1028"/>
    <s v="Maya"/>
    <s v="Thomas"/>
    <s v="Maya Thomas"/>
    <s v="maya.thomas@example.com"/>
    <s v="HR"/>
    <s v="Talent Acquisition Specialist"/>
    <s v="Kochi"/>
    <x v="3"/>
    <s v="Hybrid"/>
    <s v="Full-Time"/>
    <n v="2020"/>
    <n v="6"/>
    <n v="61000"/>
    <n v="12"/>
    <n v="7320"/>
    <n v="90"/>
    <s v="Excellent"/>
    <s v="Active"/>
    <s v="MBA"/>
    <s v="Recruitment;Excel;HRIS;Communication"/>
    <n v="5"/>
    <n v="8"/>
    <n v="16"/>
  </r>
  <r>
    <n v="1029"/>
    <s v="Ajay"/>
    <s v="Rajan"/>
    <s v="Ajay Rajan"/>
    <s v="ajay.rajan@example.com"/>
    <s v="IT"/>
    <s v="Full Stack Developer"/>
    <s v="Chennai"/>
    <x v="0"/>
    <s v="Office"/>
    <s v="Full-Time"/>
    <n v="2021"/>
    <n v="5"/>
    <n v="73000"/>
    <n v="8"/>
    <n v="5840"/>
    <n v="80"/>
    <s v="Good"/>
    <s v="Active"/>
    <s v="B.Tech"/>
    <s v="Python;SQL;Cloud;Git;Spark"/>
    <n v="4"/>
    <n v="14"/>
    <n v="16"/>
  </r>
  <r>
    <n v="1030"/>
    <s v="Roshini"/>
    <s v="Paul"/>
    <s v="Roshini Paul"/>
    <s v="roshini.paul@example.com"/>
    <s v="Marketing"/>
    <s v="Content Strategist"/>
    <s v="Kochi"/>
    <x v="3"/>
    <s v="Remote"/>
    <s v="Full-Time"/>
    <n v="2022"/>
    <n v="4"/>
    <n v="59000"/>
    <n v="12"/>
    <n v="7080"/>
    <n v="87"/>
    <s v="Good"/>
    <s v="Active"/>
    <s v="MBA"/>
    <s v="SEO;Google Analytics;Content;Social Media"/>
    <n v="3"/>
    <n v="11"/>
    <n v="16"/>
  </r>
  <r>
    <n v="1031"/>
    <s v="Bharath"/>
    <s v="Rao"/>
    <s v="Bharath Rao"/>
    <s v="bharath.rao@example.com"/>
    <s v="IT"/>
    <s v="Cloud Architect"/>
    <s v="Hyderabad"/>
    <x v="2"/>
    <s v="Hybrid"/>
    <s v="Full-Time"/>
    <n v="2016"/>
    <n v="10"/>
    <n v="125000"/>
    <n v="15"/>
    <n v="18750"/>
    <n v="95"/>
    <s v="Excellent"/>
    <s v="Active"/>
    <s v="B.Tech"/>
    <s v="Python;SQL;Cloud;Git;Spark"/>
    <n v="9"/>
    <n v="7"/>
    <n v="16"/>
  </r>
  <r>
    <n v="1032"/>
    <s v="Ishita"/>
    <s v="Roy"/>
    <s v="Ishita Roy"/>
    <s v="ishita.roy@example.com"/>
    <s v="Finance"/>
    <s v="Financial Analyst"/>
    <s v="Kolkata"/>
    <x v="7"/>
    <s v="Office"/>
    <s v="Full-Time"/>
    <n v="2022"/>
    <n v="4"/>
    <n v="60000"/>
    <n v="8"/>
    <n v="4800"/>
    <n v="78"/>
    <s v="Average"/>
    <s v="Active"/>
    <s v="M.Com"/>
    <s v="Excel;Accounting;Power BI;Financial Analysis"/>
    <n v="3"/>
    <n v="15"/>
    <n v="16"/>
  </r>
  <r>
    <n v="1033"/>
    <s v="Naveen"/>
    <s v="Kumar"/>
    <s v="Naveen Kumar"/>
    <s v="naveen.kumar@example.com"/>
    <s v="Sales"/>
    <s v="Regional Sales Manager"/>
    <s v="Pune"/>
    <x v="4"/>
    <s v="Hybrid"/>
    <s v="Full-Time"/>
    <n v="2017"/>
    <n v="9"/>
    <n v="98000"/>
    <n v="15"/>
    <n v="14700"/>
    <n v="93"/>
    <s v="Excellent"/>
    <s v="Active"/>
    <s v="MBA"/>
    <s v="CRM;Negotiation;Excel;Communication"/>
    <n v="7"/>
    <n v="9"/>
    <n v="16"/>
  </r>
  <r>
    <n v="1034"/>
    <s v="Harini"/>
    <s v="S"/>
    <s v="Harini S"/>
    <s v="harini.s@example.com"/>
    <s v="IT"/>
    <s v="QA Engineer"/>
    <s v="Chennai"/>
    <x v="0"/>
    <s v="Office"/>
    <s v="Full-Time"/>
    <n v="2023"/>
    <n v="3"/>
    <n v="52000"/>
    <n v="8"/>
    <n v="4160"/>
    <n v="75"/>
    <s v="Average"/>
    <s v="Active"/>
    <s v="B.Tech"/>
    <s v="Python;SQL;Cloud;Git;Spark"/>
    <n v="2"/>
    <n v="18"/>
    <n v="16"/>
  </r>
  <r>
    <n v="1035"/>
    <s v="Mohan"/>
    <s v="Raj"/>
    <s v="Mohan Raj"/>
    <s v="mohan.raj@example.com"/>
    <s v="Operations"/>
    <s v="Supply Chain Analyst"/>
    <s v="Coimbatore"/>
    <x v="0"/>
    <s v="Hybrid"/>
    <s v="Full-Time"/>
    <n v="2021"/>
    <n v="5"/>
    <n v="62000"/>
    <n v="8"/>
    <n v="4960"/>
    <n v="83"/>
    <s v="Good"/>
    <s v="Active"/>
    <s v="MBA"/>
    <s v="Excel;SQL;Power BI;Process Management"/>
    <n v="4"/>
    <m/>
    <m/>
  </r>
  <r>
    <n v="1036"/>
    <s v="Aparna"/>
    <s v="Krish"/>
    <s v="Aparna Krish"/>
    <s v="aparna.krish@example.com"/>
    <s v="HR"/>
    <s v="Learning Specialist"/>
    <s v="Bengaluru"/>
    <x v="1"/>
    <s v="Remote"/>
    <s v="Full-Time"/>
    <n v="2022"/>
    <n v="4"/>
    <n v="56000"/>
    <n v="12"/>
    <n v="6720"/>
    <n v="88"/>
    <s v="Good"/>
    <s v="Active"/>
    <s v="MBA"/>
    <s v="Recruitment;Excel;HRIS;Communication"/>
    <n v="3"/>
    <n v="10"/>
    <m/>
  </r>
  <r>
    <n v="1037"/>
    <s v="Dinesh"/>
    <s v="Yadav"/>
    <s v="Dinesh Yadav"/>
    <s v="dinesh.yadav@example.com"/>
    <s v="IT"/>
    <s v="Network Engineer"/>
    <s v="Delhi"/>
    <x v="5"/>
    <s v="Office"/>
    <s v="Full-Time"/>
    <n v="2019"/>
    <n v="7"/>
    <n v="72000"/>
    <n v="8"/>
    <n v="5760"/>
    <n v="84"/>
    <s v="Good"/>
    <s v="Active"/>
    <s v="B.Tech"/>
    <s v="Python;SQL;Cloud;Git;Spark"/>
    <n v="5"/>
    <n v="12"/>
    <m/>
  </r>
  <r>
    <n v="1038"/>
    <s v="Sangeetha"/>
    <s v="M"/>
    <s v="Sangeetha M"/>
    <s v="sangeetha.m@example.com"/>
    <s v="Marketing"/>
    <s v="Marketing Manager"/>
    <s v="Bengaluru"/>
    <x v="1"/>
    <s v="Hybrid"/>
    <s v="Full-Time"/>
    <n v="2018"/>
    <n v="8"/>
    <n v="88000"/>
    <n v="15"/>
    <n v="13200"/>
    <n v="92"/>
    <s v="Excellent"/>
    <s v="Active"/>
    <s v="MBA"/>
    <s v="SEO;Google Analytics;Content;Social Media"/>
    <n v="6"/>
    <n v="8"/>
    <m/>
  </r>
  <r>
    <n v="1039"/>
    <s v="Prakash"/>
    <s v="N"/>
    <s v="Prakash N"/>
    <s v="prakash.n@example.com"/>
    <s v="IT"/>
    <s v="Data Analyst"/>
    <s v="Chennai"/>
    <x v="0"/>
    <s v="Hybrid"/>
    <s v="Full-Time"/>
    <n v="2023"/>
    <n v="3"/>
    <n v="56000"/>
    <n v="12"/>
    <n v="6720"/>
    <n v="86"/>
    <s v="Good"/>
    <s v="Active"/>
    <s v="B.Tech"/>
    <s v="Python;SQL;Cloud;Git;Spark"/>
    <n v="3"/>
    <n v="15"/>
    <m/>
  </r>
  <r>
    <n v="1040"/>
    <s v="Gayathri"/>
    <s v="K"/>
    <s v="Gayathri K"/>
    <s v="gayathri.k@example.com"/>
    <s v="Finance"/>
    <s v="Accounts Executive"/>
    <s v="Madurai"/>
    <x v="0"/>
    <s v="Office"/>
    <s v="Full-Time"/>
    <n v="2024"/>
    <n v="2"/>
    <n v="44000"/>
    <n v="5"/>
    <n v="2200"/>
    <n v="74"/>
    <s v="Average"/>
    <s v="Active"/>
    <s v="M.Com"/>
    <s v="Excel;Accounting;Power BI;Financial Analysis"/>
    <n v="2"/>
    <n v="17"/>
    <m/>
  </r>
  <r>
    <n v="1041"/>
    <s v="Rohit"/>
    <s v="Mehta"/>
    <s v="Rohit Mehta"/>
    <s v="rohit.mehta@example.com"/>
    <s v="Sales"/>
    <s v="Account Manager"/>
    <s v="Mumbai"/>
    <x v="4"/>
    <s v="Hybrid"/>
    <s v="Full-Time"/>
    <n v="2020"/>
    <n v="6"/>
    <n v="82000"/>
    <n v="12"/>
    <n v="9840"/>
    <n v="89"/>
    <s v="Good"/>
    <s v="Active"/>
    <s v="MBA"/>
    <s v="CRM;Negotiation;Excel;Communication"/>
    <n v="5"/>
    <n v="9"/>
    <m/>
  </r>
  <r>
    <n v="1042"/>
    <s v="Janani"/>
    <s v="R"/>
    <s v="Janani R"/>
    <s v="janani.r@example.com"/>
    <s v="IT"/>
    <s v="Power BI Developer"/>
    <s v="Chennai"/>
    <x v="0"/>
    <s v="Remote"/>
    <s v="Full-Time"/>
    <n v="2021"/>
    <n v="5"/>
    <n v="68000"/>
    <n v="15"/>
    <n v="10200"/>
    <n v="94"/>
    <s v="Excellent"/>
    <s v="Active"/>
    <s v="B.Tech"/>
    <s v="Python;SQL;Cloud;Git;Spark"/>
    <n v="6"/>
    <n v="7"/>
    <m/>
  </r>
  <r>
    <n v="1043"/>
    <s v="Faizal"/>
    <s v="Ahmed"/>
    <s v="Faizal Ahmed"/>
    <s v="faizal.ahmed@example.com"/>
    <s v="Operations"/>
    <s v="Operations Analyst"/>
    <s v="Bengaluru"/>
    <x v="1"/>
    <s v="Office"/>
    <s v="Full-Time"/>
    <n v="2022"/>
    <n v="4"/>
    <n v="58000"/>
    <n v="8"/>
    <n v="4640"/>
    <n v="81"/>
    <s v="Good"/>
    <s v="Active"/>
    <s v="MBA"/>
    <s v="Excel;SQL;Power BI;Process Management"/>
    <n v="3"/>
    <n v="14"/>
    <m/>
  </r>
  <r>
    <n v="1044"/>
    <s v="Swetha"/>
    <s v="R"/>
    <s v="Swetha R"/>
    <s v="swetha.r@example.com"/>
    <s v="HR"/>
    <s v="HR Business Partner"/>
    <s v="Hyderabad"/>
    <x v="2"/>
    <s v="Hybrid"/>
    <s v="Full-Time"/>
    <n v="2018"/>
    <n v="8"/>
    <n v="85000"/>
    <n v="12"/>
    <n v="10200"/>
    <n v="91"/>
    <s v="Excellent"/>
    <s v="Active"/>
    <s v="MBA"/>
    <s v="Recruitment;Excel;HRIS;Communication"/>
    <n v="6"/>
    <n v="6"/>
    <m/>
  </r>
  <r>
    <n v="1045"/>
    <s v="Ashwin"/>
    <s v="Kumar"/>
    <s v="Ashwin Kumar"/>
    <s v="ashwin.kumar@example.com"/>
    <s v="IT"/>
    <s v="Site Reliability Engineer"/>
    <s v="Pune"/>
    <x v="4"/>
    <s v="Remote"/>
    <s v="Full-Time"/>
    <n v="2017"/>
    <n v="9"/>
    <n v="102000"/>
    <n v="15"/>
    <n v="15300"/>
    <n v="96"/>
    <s v="Excellent"/>
    <s v="Active"/>
    <s v="B.Tech"/>
    <s v="Python;SQL;Cloud;Git;Spark"/>
    <n v="8"/>
    <n v="5"/>
    <m/>
  </r>
  <r>
    <n v="1046"/>
    <s v="Monica"/>
    <s v="D"/>
    <s v="Monica D"/>
    <s v="monica.d@example.com"/>
    <s v="Finance"/>
    <s v="Financial Controller"/>
    <s v="Mumbai"/>
    <x v="4"/>
    <s v="Office"/>
    <s v="Full-Time"/>
    <n v="2016"/>
    <n v="10"/>
    <n v="110000"/>
    <n v="15"/>
    <n v="16500"/>
    <n v="94"/>
    <s v="Excellent"/>
    <s v="Active"/>
    <s v="M.Com"/>
    <s v="Excel;Accounting;Power BI;Financial Analysis"/>
    <n v="7"/>
    <n v="8"/>
    <m/>
  </r>
  <r>
    <n v="1047"/>
    <s v="Tarun"/>
    <s v="Shah"/>
    <s v="Tarun Shah"/>
    <s v="tarun.shah@example.com"/>
    <s v="Sales"/>
    <s v="Sales Executive"/>
    <s v="Ahmedabad"/>
    <x v="6"/>
    <s v="Office"/>
    <s v="Full-Time"/>
    <n v="2024"/>
    <n v="2"/>
    <n v="43000"/>
    <n v="5"/>
    <n v="2150"/>
    <n v="69"/>
    <s v="Needs Improvement"/>
    <s v="Active"/>
    <s v="MBA"/>
    <s v="CRM;Negotiation;Excel;Communication"/>
    <n v="2"/>
    <n v="18"/>
    <m/>
  </r>
  <r>
    <n v="1048"/>
    <s v="Revathi"/>
    <s v="S"/>
    <s v="Revathi S"/>
    <s v="revathi.s@example.com"/>
    <s v="IT"/>
    <s v="ETL Developer"/>
    <s v="Coimbatore"/>
    <x v="0"/>
    <s v="Hybrid"/>
    <s v="Full-Time"/>
    <n v="2020"/>
    <n v="6"/>
    <n v="69000"/>
    <n v="12"/>
    <n v="8280"/>
    <n v="87"/>
    <s v="Good"/>
    <s v="Active"/>
    <s v="B.Tech"/>
    <s v="Python;SQL;Cloud;Git;Spark"/>
    <n v="5"/>
    <n v="11"/>
    <m/>
  </r>
  <r>
    <n v="1049"/>
    <s v="Imran"/>
    <s v="Khan"/>
    <s v="Imran Khan"/>
    <s v="imran.khan@example.com"/>
    <s v="Operations"/>
    <s v="Project Coordinator"/>
    <s v="Hyderabad"/>
    <x v="2"/>
    <s v="Hybrid"/>
    <s v="Full-Time"/>
    <n v="2021"/>
    <n v="5"/>
    <n v="60000"/>
    <n v="12"/>
    <n v="7200"/>
    <n v="85"/>
    <s v="Good"/>
    <s v="Active"/>
    <s v="MBA"/>
    <s v="Excel;SQL;Power BI;Process Management"/>
    <n v="4"/>
    <n v="13"/>
    <m/>
  </r>
  <r>
    <n v="1050"/>
    <s v="Kavya"/>
    <s v="R"/>
    <s v="Kavya R"/>
    <s v="kavya.r@example.com"/>
    <s v="Marketing"/>
    <s v="Brand Manager"/>
    <s v="Bengaluru"/>
    <x v="1"/>
    <s v="Remote"/>
    <s v="Full-Time"/>
    <n v="2019"/>
    <n v="7"/>
    <n v="81000"/>
    <n v="12"/>
    <n v="9720"/>
    <n v="90"/>
    <s v="Excellent"/>
    <s v="Active"/>
    <s v="MBA"/>
    <s v="SEO;Google Analytics;Content;Social Media"/>
    <n v="6"/>
    <n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6F079-C514-4A1B-9B1A-F9BA12FE586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1048553:G1048560" firstHeaderRow="1" firstDataRow="1" firstDataCol="1"/>
  <pivotFields count="23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jects_Count" fld="21" baseField="0" baseItem="0"/>
  </dataFields>
  <formats count="6">
    <format dxfId="24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7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71289-4591-4C58-B379-6BE921C888B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48553:C1048560" firstHeaderRow="0" firstDataRow="1" firstDataCol="1"/>
  <pivotFields count="23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_Salary" fld="13" baseField="0" baseItem="0"/>
    <dataField name="Sum of Bonus_Amount" fld="15" baseField="0" baseItem="0"/>
  </dataFields>
  <formats count="6">
    <format dxfId="11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3C0EF-819C-42DE-B722-DEC846BA7CE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2" firstHeaderRow="0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6"/>
        <item x="1"/>
        <item x="3"/>
        <item x="4"/>
        <item x="0"/>
        <item x="2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 count" fld="1" subtotal="count" baseField="0" baseItem="0"/>
    <dataField name="Total Salary" fld="1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D6586-3FC9-4E46-B8ED-4D19742B0818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ork_Mode" fld="9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AA2959-5832-4A62-855F-00B084514A0F}" name="Table3" displayName="Table3" ref="N1048553:O1048557" totalsRowShown="0" headerRowDxfId="26" dataDxfId="25">
  <autoFilter ref="N1048553:O1048557" xr:uid="{B3AA2959-5832-4A62-855F-00B084514A0F}"/>
  <tableColumns count="2">
    <tableColumn id="1" xr3:uid="{61977077-09D4-4402-BEAE-D0FEBCE7A8E5}" name="Performance Rating" dataDxfId="28"/>
    <tableColumn id="2" xr3:uid="{77B7E2F1-0EC5-46E2-BFC8-3A70C4B74E3C}" name="Employe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FE613-17DB-4989-AF89-02608DBB50BD}" name="Table1" displayName="Table1" ref="B55:G62" totalsRowShown="0">
  <autoFilter ref="B55:G62" xr:uid="{4A1FE613-17DB-4989-AF89-02608DBB50BD}"/>
  <tableColumns count="6">
    <tableColumn id="1" xr3:uid="{50E4A6F3-814C-4D93-A67F-13F5F2005BFF}" name="Department"/>
    <tableColumn id="2" xr3:uid="{CBEA3F59-AF49-4584-9B9C-398C87B6D7D1}" name="Employee Count"/>
    <tableColumn id="3" xr3:uid="{8BAC3C20-22D4-4794-B20A-97FE48292C69}" name="Total Salary"/>
    <tableColumn id="4" xr3:uid="{E0967D9F-84A0-44A4-B151-A40ACE111B5D}" name="Total Bonus"/>
    <tableColumn id="5" xr3:uid="{F134EA6F-2C1B-4F90-AC8F-66A8BDE1DD05}" name="Projects"/>
    <tableColumn id="6" xr3:uid="{E4C897E8-F26F-4D41-ADFD-19E7438E6A9C}" name="Column1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56D85-D286-40B5-9CD2-50E5754D5E3C}" name="Table2" displayName="Table2" ref="B65:E72" totalsRowShown="0" tableBorderDxfId="33">
  <autoFilter ref="B65:E72" xr:uid="{30856D85-D286-40B5-9CD2-50E5754D5E3C}"/>
  <tableColumns count="4">
    <tableColumn id="1" xr3:uid="{560F2E25-2C0A-4278-84C4-FAAC812778AD}" name="Department" dataDxfId="32"/>
    <tableColumn id="2" xr3:uid="{36775445-EC38-47D6-8074-747616F6F70C}" name="Hybrid" dataDxfId="31"/>
    <tableColumn id="3" xr3:uid="{7A413D0F-2B5B-4D63-BE02-0950DA0A82DC}" name="Office" dataDxfId="30"/>
    <tableColumn id="4" xr3:uid="{350155CB-6CE2-4083-BDC5-7984764818A4}" name="Rem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14B5-3748-41E8-92E2-0E833E4F0CFD}">
  <dimension ref="A3:O1048561"/>
  <sheetViews>
    <sheetView showGridLines="0" tabSelected="1" zoomScale="90" zoomScaleNormal="90" workbookViewId="0"/>
  </sheetViews>
  <sheetFormatPr defaultRowHeight="14.4" x14ac:dyDescent="0.3"/>
  <cols>
    <col min="1" max="1" width="12.5546875" style="20" bestFit="1" customWidth="1"/>
    <col min="2" max="2" width="19.77734375" style="20" bestFit="1" customWidth="1"/>
    <col min="3" max="3" width="20.77734375" style="20" bestFit="1" customWidth="1"/>
    <col min="4" max="4" width="20.5546875" style="20" bestFit="1" customWidth="1"/>
    <col min="5" max="5" width="16.77734375" style="20" bestFit="1" customWidth="1"/>
    <col min="6" max="6" width="18.109375" style="20" bestFit="1" customWidth="1"/>
    <col min="7" max="8" width="20.5546875" style="20" bestFit="1" customWidth="1"/>
    <col min="9" max="13" width="8.88671875" style="20"/>
    <col min="14" max="14" width="19.5546875" style="20" customWidth="1"/>
    <col min="15" max="15" width="12" style="20" customWidth="1"/>
    <col min="16" max="16384" width="8.88671875" style="20"/>
  </cols>
  <sheetData>
    <row r="3" spans="1:7" s="20" customFormat="1" ht="30.6" customHeight="1" x14ac:dyDescent="0.3"/>
    <row r="5" spans="1:7" s="20" customFormat="1" hidden="1" x14ac:dyDescent="0.3">
      <c r="A5" s="21" t="s">
        <v>330</v>
      </c>
      <c r="B5" s="21" t="s">
        <v>313</v>
      </c>
      <c r="C5" s="21" t="s">
        <v>331</v>
      </c>
      <c r="D5" s="21" t="s">
        <v>334</v>
      </c>
      <c r="E5" s="21" t="s">
        <v>332</v>
      </c>
      <c r="F5" s="21" t="s">
        <v>335</v>
      </c>
      <c r="G5" s="21" t="s">
        <v>336</v>
      </c>
    </row>
    <row r="6" spans="1:7" s="20" customFormat="1" hidden="1" x14ac:dyDescent="0.3">
      <c r="A6" s="22">
        <v>3561000</v>
      </c>
      <c r="B6" s="22">
        <v>413810</v>
      </c>
      <c r="C6" s="22">
        <v>71220</v>
      </c>
      <c r="D6" s="21">
        <v>50</v>
      </c>
      <c r="E6" s="21">
        <v>16</v>
      </c>
      <c r="F6" s="21">
        <v>7</v>
      </c>
      <c r="G6" s="21">
        <v>8</v>
      </c>
    </row>
    <row r="7" spans="1:7" s="20" customFormat="1" hidden="1" x14ac:dyDescent="0.3"/>
    <row r="8" spans="1:7" s="20" customFormat="1" x14ac:dyDescent="0.3"/>
    <row r="16" spans="1:7" s="20" customFormat="1" x14ac:dyDescent="0.3"/>
    <row r="1048553" spans="1:15" s="20" customFormat="1" x14ac:dyDescent="0.3">
      <c r="A1048553" s="20" t="s">
        <v>315</v>
      </c>
      <c r="B1048553" s="20" t="s">
        <v>317</v>
      </c>
      <c r="C1048553" s="20" t="s">
        <v>318</v>
      </c>
      <c r="F1048553" s="20" t="s">
        <v>315</v>
      </c>
      <c r="G1048553" s="20" t="s">
        <v>319</v>
      </c>
      <c r="I1048553" s="23" t="s">
        <v>18</v>
      </c>
      <c r="J1048553" s="24" t="s">
        <v>41</v>
      </c>
      <c r="K1048553" s="25" t="s">
        <v>66</v>
      </c>
      <c r="L1048553" s="24" t="s">
        <v>59</v>
      </c>
      <c r="N1048553" s="20" t="s">
        <v>322</v>
      </c>
      <c r="O1048553" s="20" t="s">
        <v>324</v>
      </c>
    </row>
    <row r="1048554" spans="1:15" s="20" customFormat="1" x14ac:dyDescent="0.3">
      <c r="A1048554" s="26" t="s">
        <v>63</v>
      </c>
      <c r="B1048554" s="27">
        <v>572000</v>
      </c>
      <c r="C1048554" s="27">
        <v>61580</v>
      </c>
      <c r="F1048554" s="26" t="s">
        <v>63</v>
      </c>
      <c r="G1048554" s="27">
        <v>34</v>
      </c>
      <c r="I1048554" s="28" t="s">
        <v>39</v>
      </c>
      <c r="J1048554" s="29">
        <v>9</v>
      </c>
      <c r="K1048554" s="29">
        <v>3</v>
      </c>
      <c r="L1048554" s="29">
        <v>6</v>
      </c>
      <c r="N1048554" s="20" t="s">
        <v>53</v>
      </c>
      <c r="O1048554" s="20">
        <f>COUNTIF(Sheet2!R2:R51,Sheet2!R51)</f>
        <v>18</v>
      </c>
    </row>
    <row r="1048555" spans="1:15" s="20" customFormat="1" x14ac:dyDescent="0.3">
      <c r="A1048555" s="26" t="s">
        <v>50</v>
      </c>
      <c r="B1048555" s="27">
        <v>377000</v>
      </c>
      <c r="C1048555" s="27">
        <v>43490</v>
      </c>
      <c r="F1048555" s="26" t="s">
        <v>50</v>
      </c>
      <c r="G1048555" s="27">
        <v>25</v>
      </c>
      <c r="I1048555" s="30" t="s">
        <v>50</v>
      </c>
      <c r="J1048555" s="29">
        <v>4</v>
      </c>
      <c r="K1048555" s="29">
        <v>1</v>
      </c>
      <c r="L1048555" s="31">
        <v>1</v>
      </c>
      <c r="N1048555" s="20" t="s">
        <v>323</v>
      </c>
      <c r="O1048555" s="20">
        <f>COUNTIF(Sheet2!R2:R51,Sheet2!R2)</f>
        <v>22</v>
      </c>
    </row>
    <row r="1048556" spans="1:15" s="20" customFormat="1" x14ac:dyDescent="0.3">
      <c r="A1048556" s="26" t="s">
        <v>39</v>
      </c>
      <c r="B1048556" s="27">
        <v>1435000</v>
      </c>
      <c r="C1048556" s="27">
        <v>183910</v>
      </c>
      <c r="F1048556" s="26" t="s">
        <v>39</v>
      </c>
      <c r="G1048556" s="27">
        <v>102</v>
      </c>
      <c r="I1048556" s="28" t="s">
        <v>63</v>
      </c>
      <c r="J1048556" s="29">
        <v>1</v>
      </c>
      <c r="K1048556" s="29">
        <v>7</v>
      </c>
      <c r="L1048556" s="29">
        <v>0</v>
      </c>
      <c r="N1048556" s="20" t="s">
        <v>67</v>
      </c>
      <c r="O1048556" s="20">
        <f>COUNTIF(Sheet2!R2:R51,Sheet2!R33)</f>
        <v>9</v>
      </c>
    </row>
    <row r="1048557" spans="1:15" s="20" customFormat="1" x14ac:dyDescent="0.3">
      <c r="A1048557" s="26" t="s">
        <v>11</v>
      </c>
      <c r="B1048557" s="27">
        <v>351000</v>
      </c>
      <c r="C1048557" s="27">
        <v>42560</v>
      </c>
      <c r="F1048557" s="26" t="s">
        <v>11</v>
      </c>
      <c r="G1048557" s="27">
        <v>23</v>
      </c>
      <c r="I1048557" s="30" t="s">
        <v>12</v>
      </c>
      <c r="J1048557" s="29">
        <v>4</v>
      </c>
      <c r="K1048557" s="29">
        <v>3</v>
      </c>
      <c r="L1048557" s="31">
        <v>0</v>
      </c>
      <c r="N1048557" s="20" t="s">
        <v>325</v>
      </c>
      <c r="O1048557" s="20">
        <f>COUNTIF(Sheet2!R3:R52,Sheet2!R48)</f>
        <v>1</v>
      </c>
    </row>
    <row r="1048558" spans="1:15" s="20" customFormat="1" x14ac:dyDescent="0.3">
      <c r="A1048558" s="26" t="s">
        <v>100</v>
      </c>
      <c r="B1048558" s="27">
        <v>376000</v>
      </c>
      <c r="C1048558" s="27">
        <v>37030</v>
      </c>
      <c r="F1048558" s="26" t="s">
        <v>100</v>
      </c>
      <c r="G1048558" s="27">
        <v>25</v>
      </c>
      <c r="I1048558" s="28" t="s">
        <v>100</v>
      </c>
      <c r="J1048558" s="29">
        <v>3</v>
      </c>
      <c r="K1048558" s="29">
        <v>3</v>
      </c>
      <c r="L1048558" s="29">
        <v>0</v>
      </c>
    </row>
    <row r="1048559" spans="1:15" s="20" customFormat="1" x14ac:dyDescent="0.3">
      <c r="A1048559" s="26" t="s">
        <v>12</v>
      </c>
      <c r="B1048559" s="27">
        <v>450000</v>
      </c>
      <c r="C1048559" s="27">
        <v>45240</v>
      </c>
      <c r="F1048559" s="26" t="s">
        <v>12</v>
      </c>
      <c r="G1048559" s="27">
        <v>26</v>
      </c>
      <c r="I1048559" s="30" t="s">
        <v>11</v>
      </c>
      <c r="J1048559" s="29">
        <v>2</v>
      </c>
      <c r="K1048559" s="29">
        <v>0</v>
      </c>
      <c r="L1048559" s="31">
        <v>3</v>
      </c>
    </row>
    <row r="1048560" spans="1:15" s="20" customFormat="1" x14ac:dyDescent="0.3">
      <c r="A1048560" s="26" t="s">
        <v>316</v>
      </c>
      <c r="B1048560" s="27">
        <v>3561000</v>
      </c>
      <c r="C1048560" s="27">
        <v>413810</v>
      </c>
      <c r="F1048560" s="26" t="s">
        <v>316</v>
      </c>
      <c r="G1048560" s="27">
        <v>235</v>
      </c>
    </row>
    <row r="1048561" s="20" customFormat="1" x14ac:dyDescent="0.3"/>
  </sheetData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E1"/>
    </sheetView>
  </sheetViews>
  <sheetFormatPr defaultRowHeight="14.4" x14ac:dyDescent="0.3"/>
  <cols>
    <col min="1" max="1" width="10.33203125" bestFit="1" customWidth="1"/>
    <col min="2" max="2" width="24.33203125" bestFit="1" customWidth="1"/>
    <col min="3" max="3" width="24.5546875" bestFit="1" customWidth="1"/>
    <col min="4" max="4" width="11.5546875" bestFit="1" customWidth="1"/>
    <col min="5" max="5" width="11.33203125" bestFit="1" customWidth="1"/>
    <col min="6" max="7" width="12.44140625" bestFit="1" customWidth="1"/>
  </cols>
  <sheetData>
    <row r="1" spans="1:7" x14ac:dyDescent="0.3">
      <c r="A1" s="5" t="s">
        <v>0</v>
      </c>
      <c r="B1" s="5"/>
      <c r="C1" s="5"/>
      <c r="D1" s="5"/>
      <c r="E1" s="5"/>
    </row>
    <row r="2" spans="1:7" x14ac:dyDescent="0.3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1" t="s">
        <v>8</v>
      </c>
      <c r="B3" s="8">
        <v>46023</v>
      </c>
      <c r="C3" s="8">
        <v>46143</v>
      </c>
      <c r="D3" s="2" t="s">
        <v>206</v>
      </c>
      <c r="E3" s="3">
        <v>4000</v>
      </c>
      <c r="F3" s="3">
        <v>15000</v>
      </c>
      <c r="G3" s="3">
        <f>F3-E3</f>
        <v>11000</v>
      </c>
    </row>
    <row r="4" spans="1:7" x14ac:dyDescent="0.3">
      <c r="A4" s="1" t="s">
        <v>9</v>
      </c>
      <c r="B4" s="8">
        <v>46174</v>
      </c>
      <c r="C4" s="8">
        <v>46296</v>
      </c>
      <c r="D4" s="2" t="s">
        <v>10</v>
      </c>
      <c r="E4" s="3">
        <v>6000</v>
      </c>
      <c r="F4" s="3">
        <v>20000</v>
      </c>
      <c r="G4" s="3">
        <f>F4-E4</f>
        <v>14000</v>
      </c>
    </row>
    <row r="6" spans="1:7" x14ac:dyDescent="0.3">
      <c r="A6" s="4"/>
    </row>
    <row r="10" spans="1:7" x14ac:dyDescent="0.3">
      <c r="A10" t="s">
        <v>207</v>
      </c>
    </row>
    <row r="11" spans="1:7" x14ac:dyDescent="0.3">
      <c r="A11" t="str" cm="1">
        <f t="array" ref="A11:G13">A2:G4</f>
        <v>Destination</v>
      </c>
      <c r="B11" t="str">
        <v>Departure Date</v>
      </c>
      <c r="C11" t="str">
        <v>Return Date</v>
      </c>
      <c r="D11" t="str">
        <v>Hotel Name</v>
      </c>
      <c r="E11" t="str">
        <v>Flight Cost</v>
      </c>
      <c r="F11" t="str">
        <v>Total budget</v>
      </c>
      <c r="G11" t="str">
        <v>Remaining Budget</v>
      </c>
    </row>
    <row r="12" spans="1:7" x14ac:dyDescent="0.3">
      <c r="A12" t="str">
        <v>Goa</v>
      </c>
      <c r="B12" s="7">
        <v>46023</v>
      </c>
      <c r="C12" s="7">
        <v>46143</v>
      </c>
      <c r="D12" t="str">
        <v>Holiday In</v>
      </c>
      <c r="E12">
        <v>4000</v>
      </c>
      <c r="F12">
        <v>15000</v>
      </c>
      <c r="G12">
        <v>11000</v>
      </c>
    </row>
    <row r="13" spans="1:7" x14ac:dyDescent="0.3">
      <c r="A13" t="str">
        <v>Manali</v>
      </c>
      <c r="B13" s="7">
        <v>46174</v>
      </c>
      <c r="C13" s="7">
        <v>46296</v>
      </c>
      <c r="D13" t="str">
        <v>Hill top</v>
      </c>
      <c r="E13">
        <v>6000</v>
      </c>
      <c r="F13">
        <v>20000</v>
      </c>
      <c r="G13">
        <v>14000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790D-8097-4611-9CD4-3A60A002AE04}">
  <dimension ref="A3:C12"/>
  <sheetViews>
    <sheetView workbookViewId="0">
      <selection activeCell="F3" sqref="F3:H12"/>
    </sheetView>
  </sheetViews>
  <sheetFormatPr defaultRowHeight="14.4" x14ac:dyDescent="0.3"/>
  <cols>
    <col min="1" max="1" width="12.5546875" bestFit="1" customWidth="1"/>
    <col min="2" max="2" width="18.44140625" bestFit="1" customWidth="1"/>
    <col min="3" max="3" width="19.77734375" bestFit="1" customWidth="1"/>
  </cols>
  <sheetData>
    <row r="3" spans="1:3" x14ac:dyDescent="0.3">
      <c r="A3" s="9" t="s">
        <v>315</v>
      </c>
      <c r="B3" t="s">
        <v>337</v>
      </c>
      <c r="C3" t="s">
        <v>312</v>
      </c>
    </row>
    <row r="4" spans="1:3" x14ac:dyDescent="0.3">
      <c r="A4" s="10" t="s">
        <v>112</v>
      </c>
      <c r="B4" s="11">
        <v>3</v>
      </c>
      <c r="C4" s="11">
        <v>187000</v>
      </c>
    </row>
    <row r="5" spans="1:3" x14ac:dyDescent="0.3">
      <c r="A5" s="10" t="s">
        <v>134</v>
      </c>
      <c r="B5" s="11">
        <v>2</v>
      </c>
      <c r="C5" s="11">
        <v>89000</v>
      </c>
    </row>
    <row r="6" spans="1:3" x14ac:dyDescent="0.3">
      <c r="A6" s="10" t="s">
        <v>52</v>
      </c>
      <c r="B6" s="11">
        <v>9</v>
      </c>
      <c r="C6" s="11">
        <v>705000</v>
      </c>
    </row>
    <row r="7" spans="1:3" x14ac:dyDescent="0.3">
      <c r="A7" s="10" t="s">
        <v>88</v>
      </c>
      <c r="B7" s="11">
        <v>5</v>
      </c>
      <c r="C7" s="11">
        <v>304000</v>
      </c>
    </row>
    <row r="8" spans="1:3" x14ac:dyDescent="0.3">
      <c r="A8" s="10" t="s">
        <v>93</v>
      </c>
      <c r="B8" s="11">
        <v>7</v>
      </c>
      <c r="C8" s="11">
        <v>589000</v>
      </c>
    </row>
    <row r="9" spans="1:3" x14ac:dyDescent="0.3">
      <c r="A9" s="10" t="s">
        <v>210</v>
      </c>
      <c r="B9" s="11">
        <v>15</v>
      </c>
      <c r="C9" s="11">
        <v>1018000</v>
      </c>
    </row>
    <row r="10" spans="1:3" x14ac:dyDescent="0.3">
      <c r="A10" s="10" t="s">
        <v>65</v>
      </c>
      <c r="B10" s="11">
        <v>7</v>
      </c>
      <c r="C10" s="11">
        <v>530000</v>
      </c>
    </row>
    <row r="11" spans="1:3" x14ac:dyDescent="0.3">
      <c r="A11" s="10" t="s">
        <v>264</v>
      </c>
      <c r="B11" s="11">
        <v>2</v>
      </c>
      <c r="C11" s="11">
        <v>139000</v>
      </c>
    </row>
    <row r="12" spans="1:3" x14ac:dyDescent="0.3">
      <c r="A12" s="10" t="s">
        <v>316</v>
      </c>
      <c r="B12" s="11">
        <v>50</v>
      </c>
      <c r="C12" s="11">
        <v>3561000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463-C146-4F43-8E08-6C9A6910F77C}">
  <dimension ref="A3:B7"/>
  <sheetViews>
    <sheetView topLeftCell="A2" workbookViewId="0">
      <selection activeCell="D33" sqref="D32:D3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9" t="s">
        <v>315</v>
      </c>
      <c r="B3" t="s">
        <v>320</v>
      </c>
    </row>
    <row r="4" spans="1:2" x14ac:dyDescent="0.3">
      <c r="A4" s="10" t="s">
        <v>41</v>
      </c>
      <c r="B4" s="11">
        <v>23</v>
      </c>
    </row>
    <row r="5" spans="1:2" x14ac:dyDescent="0.3">
      <c r="A5" s="10" t="s">
        <v>66</v>
      </c>
      <c r="B5" s="11">
        <v>17</v>
      </c>
    </row>
    <row r="6" spans="1:2" x14ac:dyDescent="0.3">
      <c r="A6" s="10" t="s">
        <v>59</v>
      </c>
      <c r="B6" s="11">
        <v>10</v>
      </c>
    </row>
    <row r="7" spans="1:2" x14ac:dyDescent="0.3">
      <c r="A7" s="10" t="s">
        <v>316</v>
      </c>
      <c r="B7" s="11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D233-6F97-4889-B66E-FA8A840D90FA}">
  <dimension ref="A1:X72"/>
  <sheetViews>
    <sheetView workbookViewId="0">
      <selection sqref="A1:W51"/>
    </sheetView>
  </sheetViews>
  <sheetFormatPr defaultRowHeight="14.4" x14ac:dyDescent="0.3"/>
  <cols>
    <col min="2" max="2" width="13" customWidth="1"/>
    <col min="3" max="3" width="16.77734375" customWidth="1"/>
    <col min="4" max="4" width="12.6640625" customWidth="1"/>
    <col min="5" max="5" width="12.77734375" customWidth="1"/>
    <col min="6" max="6" width="9.6640625" customWidth="1"/>
    <col min="11" max="11" width="10.44140625" bestFit="1" customWidth="1"/>
    <col min="12" max="12" width="10.6640625" bestFit="1" customWidth="1"/>
    <col min="13" max="13" width="9.109375" bestFit="1" customWidth="1"/>
    <col min="14" max="14" width="14.5546875" bestFit="1" customWidth="1"/>
    <col min="15" max="15" width="16.77734375" bestFit="1" customWidth="1"/>
    <col min="16" max="16" width="18.109375" bestFit="1" customWidth="1"/>
    <col min="17" max="17" width="15.6640625" bestFit="1" customWidth="1"/>
  </cols>
  <sheetData>
    <row r="1" spans="1:24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326</v>
      </c>
    </row>
    <row r="2" spans="1:24" x14ac:dyDescent="0.3">
      <c r="A2">
        <v>1001</v>
      </c>
      <c r="B2" t="s">
        <v>36</v>
      </c>
      <c r="C2" t="s">
        <v>37</v>
      </c>
      <c r="D2" t="s">
        <v>208</v>
      </c>
      <c r="E2" t="s">
        <v>38</v>
      </c>
      <c r="F2" t="s">
        <v>39</v>
      </c>
      <c r="G2" t="s">
        <v>209</v>
      </c>
      <c r="H2" t="s">
        <v>40</v>
      </c>
      <c r="I2" t="s">
        <v>210</v>
      </c>
      <c r="J2" t="s">
        <v>41</v>
      </c>
      <c r="K2" t="s">
        <v>42</v>
      </c>
      <c r="L2">
        <v>2019</v>
      </c>
      <c r="M2">
        <v>7</v>
      </c>
      <c r="N2">
        <v>65000</v>
      </c>
      <c r="O2">
        <v>12</v>
      </c>
      <c r="P2">
        <v>7800</v>
      </c>
      <c r="Q2">
        <v>88</v>
      </c>
      <c r="R2" t="s">
        <v>43</v>
      </c>
      <c r="S2" t="s">
        <v>44</v>
      </c>
      <c r="T2" t="s">
        <v>45</v>
      </c>
      <c r="U2" t="s">
        <v>46</v>
      </c>
      <c r="V2">
        <v>2</v>
      </c>
      <c r="W2">
        <v>12</v>
      </c>
      <c r="X2">
        <f>COUNTIF(N$2:N51,"&gt;80000")</f>
        <v>16</v>
      </c>
    </row>
    <row r="3" spans="1:24" x14ac:dyDescent="0.3">
      <c r="A3">
        <v>1002</v>
      </c>
      <c r="B3" t="s">
        <v>47</v>
      </c>
      <c r="C3" t="s">
        <v>48</v>
      </c>
      <c r="D3" t="s">
        <v>211</v>
      </c>
      <c r="E3" t="s">
        <v>49</v>
      </c>
      <c r="F3" t="s">
        <v>50</v>
      </c>
      <c r="G3" t="s">
        <v>212</v>
      </c>
      <c r="H3" t="s">
        <v>51</v>
      </c>
      <c r="I3" t="s">
        <v>52</v>
      </c>
      <c r="J3" t="s">
        <v>41</v>
      </c>
      <c r="K3" t="s">
        <v>42</v>
      </c>
      <c r="L3">
        <v>2018</v>
      </c>
      <c r="M3">
        <v>8</v>
      </c>
      <c r="N3">
        <v>75000</v>
      </c>
      <c r="O3">
        <v>15</v>
      </c>
      <c r="P3">
        <v>11250</v>
      </c>
      <c r="Q3">
        <v>92</v>
      </c>
      <c r="R3" t="s">
        <v>53</v>
      </c>
      <c r="S3" t="s">
        <v>44</v>
      </c>
      <c r="T3" t="s">
        <v>54</v>
      </c>
      <c r="U3" t="s">
        <v>55</v>
      </c>
      <c r="V3">
        <v>5</v>
      </c>
      <c r="W3">
        <v>8</v>
      </c>
      <c r="X3">
        <f>COUNTIF(N$2:N52,"&gt;80000")</f>
        <v>16</v>
      </c>
    </row>
    <row r="4" spans="1:24" x14ac:dyDescent="0.3">
      <c r="A4">
        <v>1003</v>
      </c>
      <c r="B4" t="s">
        <v>56</v>
      </c>
      <c r="C4" t="s">
        <v>57</v>
      </c>
      <c r="D4" t="s">
        <v>213</v>
      </c>
      <c r="E4" t="s">
        <v>58</v>
      </c>
      <c r="F4" t="s">
        <v>39</v>
      </c>
      <c r="G4" t="s">
        <v>214</v>
      </c>
      <c r="H4" t="s">
        <v>40</v>
      </c>
      <c r="I4" t="s">
        <v>210</v>
      </c>
      <c r="J4" t="s">
        <v>59</v>
      </c>
      <c r="K4" t="s">
        <v>42</v>
      </c>
      <c r="L4">
        <v>2017</v>
      </c>
      <c r="M4">
        <v>9</v>
      </c>
      <c r="N4">
        <v>90000</v>
      </c>
      <c r="O4">
        <v>15</v>
      </c>
      <c r="P4">
        <v>13500</v>
      </c>
      <c r="Q4">
        <v>95</v>
      </c>
      <c r="R4" t="s">
        <v>53</v>
      </c>
      <c r="S4" t="s">
        <v>44</v>
      </c>
      <c r="T4" t="s">
        <v>45</v>
      </c>
      <c r="U4" t="s">
        <v>46</v>
      </c>
      <c r="V4">
        <v>7</v>
      </c>
      <c r="W4">
        <v>10</v>
      </c>
      <c r="X4">
        <f>COUNTIF(N$2:N53,"&gt;80000")</f>
        <v>16</v>
      </c>
    </row>
    <row r="5" spans="1:24" x14ac:dyDescent="0.3">
      <c r="A5">
        <v>1004</v>
      </c>
      <c r="B5" t="s">
        <v>60</v>
      </c>
      <c r="C5" t="s">
        <v>61</v>
      </c>
      <c r="D5" t="s">
        <v>215</v>
      </c>
      <c r="E5" t="s">
        <v>62</v>
      </c>
      <c r="F5" t="s">
        <v>63</v>
      </c>
      <c r="G5" t="s">
        <v>216</v>
      </c>
      <c r="H5" t="s">
        <v>64</v>
      </c>
      <c r="I5" t="s">
        <v>65</v>
      </c>
      <c r="J5" t="s">
        <v>66</v>
      </c>
      <c r="K5" t="s">
        <v>42</v>
      </c>
      <c r="L5">
        <v>2020</v>
      </c>
      <c r="M5">
        <v>6</v>
      </c>
      <c r="N5">
        <v>65000</v>
      </c>
      <c r="O5">
        <v>8</v>
      </c>
      <c r="P5">
        <v>5200</v>
      </c>
      <c r="Q5">
        <v>78</v>
      </c>
      <c r="R5" t="s">
        <v>67</v>
      </c>
      <c r="S5" t="s">
        <v>44</v>
      </c>
      <c r="T5" t="s">
        <v>68</v>
      </c>
      <c r="U5" t="s">
        <v>217</v>
      </c>
      <c r="V5">
        <v>3</v>
      </c>
      <c r="W5">
        <v>15</v>
      </c>
      <c r="X5">
        <f>COUNTIF(N$2:N54,"&gt;80000")</f>
        <v>16</v>
      </c>
    </row>
    <row r="6" spans="1:24" x14ac:dyDescent="0.3">
      <c r="A6">
        <v>1005</v>
      </c>
      <c r="B6" t="s">
        <v>69</v>
      </c>
      <c r="C6" t="s">
        <v>70</v>
      </c>
      <c r="D6" t="s">
        <v>218</v>
      </c>
      <c r="E6" t="s">
        <v>71</v>
      </c>
      <c r="F6" t="s">
        <v>39</v>
      </c>
      <c r="G6" t="s">
        <v>219</v>
      </c>
      <c r="H6" t="s">
        <v>51</v>
      </c>
      <c r="I6" t="s">
        <v>52</v>
      </c>
      <c r="J6" t="s">
        <v>41</v>
      </c>
      <c r="K6" t="s">
        <v>42</v>
      </c>
      <c r="L6">
        <v>2016</v>
      </c>
      <c r="M6">
        <v>10</v>
      </c>
      <c r="N6">
        <v>95000</v>
      </c>
      <c r="O6">
        <v>12</v>
      </c>
      <c r="P6">
        <v>11400</v>
      </c>
      <c r="Q6">
        <v>91</v>
      </c>
      <c r="R6" t="s">
        <v>53</v>
      </c>
      <c r="S6" t="s">
        <v>44</v>
      </c>
      <c r="T6" t="s">
        <v>45</v>
      </c>
      <c r="U6" t="s">
        <v>46</v>
      </c>
      <c r="V6">
        <v>8</v>
      </c>
      <c r="W6">
        <v>9</v>
      </c>
      <c r="X6">
        <f>COUNTIF(N$2:N54,"&gt;80000")</f>
        <v>16</v>
      </c>
    </row>
    <row r="7" spans="1:24" x14ac:dyDescent="0.3">
      <c r="A7">
        <v>1006</v>
      </c>
      <c r="B7" t="s">
        <v>72</v>
      </c>
      <c r="C7" t="s">
        <v>73</v>
      </c>
      <c r="D7" t="s">
        <v>220</v>
      </c>
      <c r="E7" t="s">
        <v>74</v>
      </c>
      <c r="F7" t="s">
        <v>63</v>
      </c>
      <c r="G7" t="s">
        <v>221</v>
      </c>
      <c r="H7" t="s">
        <v>40</v>
      </c>
      <c r="I7" t="s">
        <v>210</v>
      </c>
      <c r="J7" t="s">
        <v>66</v>
      </c>
      <c r="K7" t="s">
        <v>42</v>
      </c>
      <c r="L7">
        <v>2017</v>
      </c>
      <c r="M7">
        <v>9</v>
      </c>
      <c r="N7">
        <v>85000</v>
      </c>
      <c r="O7">
        <v>12</v>
      </c>
      <c r="P7">
        <v>10200</v>
      </c>
      <c r="Q7">
        <v>89</v>
      </c>
      <c r="R7" t="s">
        <v>43</v>
      </c>
      <c r="S7" t="s">
        <v>44</v>
      </c>
      <c r="T7" t="s">
        <v>68</v>
      </c>
      <c r="U7" t="s">
        <v>217</v>
      </c>
      <c r="V7">
        <v>6</v>
      </c>
      <c r="W7">
        <v>11</v>
      </c>
      <c r="X7">
        <f>COUNTIF(N$2:N54,"&gt;80000")</f>
        <v>16</v>
      </c>
    </row>
    <row r="8" spans="1:24" x14ac:dyDescent="0.3">
      <c r="A8">
        <v>1007</v>
      </c>
      <c r="B8" t="s">
        <v>75</v>
      </c>
      <c r="C8" t="s">
        <v>76</v>
      </c>
      <c r="D8" t="s">
        <v>222</v>
      </c>
      <c r="E8" t="s">
        <v>77</v>
      </c>
      <c r="F8" t="s">
        <v>12</v>
      </c>
      <c r="G8" t="s">
        <v>223</v>
      </c>
      <c r="H8" t="s">
        <v>64</v>
      </c>
      <c r="I8" t="s">
        <v>65</v>
      </c>
      <c r="J8" t="s">
        <v>66</v>
      </c>
      <c r="K8" t="s">
        <v>42</v>
      </c>
      <c r="L8">
        <v>2024</v>
      </c>
      <c r="M8">
        <v>2</v>
      </c>
      <c r="N8">
        <v>45000</v>
      </c>
      <c r="O8">
        <v>5</v>
      </c>
      <c r="P8">
        <v>2250</v>
      </c>
      <c r="Q8">
        <v>72</v>
      </c>
      <c r="R8" t="s">
        <v>67</v>
      </c>
      <c r="S8" t="s">
        <v>44</v>
      </c>
      <c r="T8" t="s">
        <v>54</v>
      </c>
      <c r="U8" t="s">
        <v>78</v>
      </c>
      <c r="V8">
        <v>1</v>
      </c>
      <c r="W8">
        <v>18</v>
      </c>
      <c r="X8">
        <f>COUNTIF(N$2:N57,"&gt;80000")</f>
        <v>16</v>
      </c>
    </row>
    <row r="9" spans="1:24" x14ac:dyDescent="0.3">
      <c r="A9">
        <v>1008</v>
      </c>
      <c r="B9" t="s">
        <v>79</v>
      </c>
      <c r="C9" t="s">
        <v>80</v>
      </c>
      <c r="D9" t="s">
        <v>224</v>
      </c>
      <c r="F9" t="s">
        <v>12</v>
      </c>
      <c r="G9" t="s">
        <v>225</v>
      </c>
      <c r="H9" t="s">
        <v>51</v>
      </c>
      <c r="I9" t="s">
        <v>52</v>
      </c>
      <c r="J9" t="s">
        <v>41</v>
      </c>
      <c r="K9" t="s">
        <v>42</v>
      </c>
      <c r="L9">
        <v>2019</v>
      </c>
      <c r="M9">
        <v>7</v>
      </c>
      <c r="N9">
        <v>78000</v>
      </c>
      <c r="O9">
        <v>12</v>
      </c>
      <c r="P9">
        <v>9360</v>
      </c>
      <c r="Q9">
        <v>86</v>
      </c>
      <c r="R9" t="s">
        <v>43</v>
      </c>
      <c r="S9" t="s">
        <v>44</v>
      </c>
      <c r="T9" t="s">
        <v>54</v>
      </c>
      <c r="U9" t="s">
        <v>78</v>
      </c>
      <c r="V9">
        <v>5</v>
      </c>
      <c r="W9">
        <v>7</v>
      </c>
      <c r="X9">
        <f>COUNTIF(N$2:N58,"&gt;80000")</f>
        <v>16</v>
      </c>
    </row>
    <row r="10" spans="1:24" x14ac:dyDescent="0.3">
      <c r="A10">
        <v>1009</v>
      </c>
      <c r="B10" t="s">
        <v>81</v>
      </c>
      <c r="C10" t="s">
        <v>37</v>
      </c>
      <c r="D10" t="s">
        <v>226</v>
      </c>
      <c r="E10" t="s">
        <v>82</v>
      </c>
      <c r="F10" t="s">
        <v>39</v>
      </c>
      <c r="G10" t="s">
        <v>227</v>
      </c>
      <c r="H10" t="s">
        <v>40</v>
      </c>
      <c r="I10" t="s">
        <v>210</v>
      </c>
      <c r="J10" t="s">
        <v>59</v>
      </c>
      <c r="K10" t="s">
        <v>42</v>
      </c>
      <c r="L10">
        <v>2018</v>
      </c>
      <c r="M10">
        <v>8</v>
      </c>
      <c r="N10">
        <v>88000</v>
      </c>
      <c r="O10">
        <v>15</v>
      </c>
      <c r="P10">
        <v>13200</v>
      </c>
      <c r="Q10">
        <v>94</v>
      </c>
      <c r="R10" t="s">
        <v>53</v>
      </c>
      <c r="S10" t="s">
        <v>44</v>
      </c>
      <c r="T10" t="s">
        <v>45</v>
      </c>
      <c r="U10" t="s">
        <v>46</v>
      </c>
      <c r="V10">
        <v>7</v>
      </c>
      <c r="W10">
        <v>6</v>
      </c>
      <c r="X10">
        <f>COUNTIF(N$2:N59,"&gt;80000")</f>
        <v>16</v>
      </c>
    </row>
    <row r="11" spans="1:24" x14ac:dyDescent="0.3">
      <c r="A11">
        <v>1010</v>
      </c>
      <c r="B11" t="s">
        <v>83</v>
      </c>
      <c r="C11" t="s">
        <v>84</v>
      </c>
      <c r="D11" t="s">
        <v>228</v>
      </c>
      <c r="E11" t="s">
        <v>85</v>
      </c>
      <c r="F11" t="s">
        <v>50</v>
      </c>
      <c r="G11" t="s">
        <v>86</v>
      </c>
      <c r="H11" t="s">
        <v>87</v>
      </c>
      <c r="I11" t="s">
        <v>88</v>
      </c>
      <c r="J11" t="s">
        <v>41</v>
      </c>
      <c r="K11" t="s">
        <v>42</v>
      </c>
      <c r="L11">
        <v>2021</v>
      </c>
      <c r="M11">
        <v>5</v>
      </c>
      <c r="N11">
        <v>52000</v>
      </c>
      <c r="O11">
        <v>8</v>
      </c>
      <c r="P11">
        <v>4160</v>
      </c>
      <c r="Q11">
        <v>83</v>
      </c>
      <c r="R11" t="s">
        <v>43</v>
      </c>
      <c r="S11" t="s">
        <v>44</v>
      </c>
      <c r="T11" t="s">
        <v>54</v>
      </c>
      <c r="U11" t="s">
        <v>55</v>
      </c>
      <c r="V11">
        <v>4</v>
      </c>
      <c r="W11">
        <v>14</v>
      </c>
      <c r="X11">
        <f>COUNTIF(N$2:N60,"&gt;80000")</f>
        <v>16</v>
      </c>
    </row>
    <row r="12" spans="1:24" x14ac:dyDescent="0.3">
      <c r="A12">
        <v>1011</v>
      </c>
      <c r="B12" t="s">
        <v>89</v>
      </c>
      <c r="C12" t="s">
        <v>90</v>
      </c>
      <c r="D12" t="s">
        <v>229</v>
      </c>
      <c r="E12" t="s">
        <v>91</v>
      </c>
      <c r="F12" t="s">
        <v>39</v>
      </c>
      <c r="G12" t="s">
        <v>230</v>
      </c>
      <c r="H12" t="s">
        <v>92</v>
      </c>
      <c r="I12" t="s">
        <v>93</v>
      </c>
      <c r="J12" t="s">
        <v>41</v>
      </c>
      <c r="K12" t="s">
        <v>42</v>
      </c>
      <c r="L12">
        <v>2022</v>
      </c>
      <c r="M12">
        <v>4</v>
      </c>
      <c r="N12">
        <v>60000</v>
      </c>
      <c r="O12">
        <v>8</v>
      </c>
      <c r="P12">
        <v>4800</v>
      </c>
      <c r="Q12">
        <v>81</v>
      </c>
      <c r="R12" t="s">
        <v>43</v>
      </c>
      <c r="S12" t="s">
        <v>44</v>
      </c>
      <c r="T12" t="s">
        <v>45</v>
      </c>
      <c r="U12" t="s">
        <v>46</v>
      </c>
      <c r="V12">
        <v>3</v>
      </c>
      <c r="W12">
        <v>13</v>
      </c>
      <c r="X12">
        <f>COUNTIF(N$2:N61,"&gt;80000")</f>
        <v>16</v>
      </c>
    </row>
    <row r="13" spans="1:24" x14ac:dyDescent="0.3">
      <c r="A13">
        <v>1012</v>
      </c>
      <c r="B13" t="s">
        <v>94</v>
      </c>
      <c r="C13" t="s">
        <v>95</v>
      </c>
      <c r="D13" t="s">
        <v>231</v>
      </c>
      <c r="E13" t="s">
        <v>96</v>
      </c>
      <c r="F13" t="s">
        <v>63</v>
      </c>
      <c r="G13" t="s">
        <v>232</v>
      </c>
      <c r="H13" t="s">
        <v>40</v>
      </c>
      <c r="I13" t="s">
        <v>210</v>
      </c>
      <c r="J13" t="s">
        <v>66</v>
      </c>
      <c r="K13" t="s">
        <v>42</v>
      </c>
      <c r="L13">
        <v>2019</v>
      </c>
      <c r="M13">
        <v>7</v>
      </c>
      <c r="N13">
        <v>72000</v>
      </c>
      <c r="O13">
        <v>12</v>
      </c>
      <c r="P13">
        <v>8640</v>
      </c>
      <c r="Q13">
        <v>90</v>
      </c>
      <c r="R13" t="s">
        <v>53</v>
      </c>
      <c r="S13" t="s">
        <v>44</v>
      </c>
      <c r="T13" t="s">
        <v>68</v>
      </c>
      <c r="U13" t="s">
        <v>217</v>
      </c>
      <c r="V13">
        <v>6</v>
      </c>
      <c r="W13">
        <v>9</v>
      </c>
      <c r="X13">
        <f>COUNTIF(N$2:N62,"&gt;80000")</f>
        <v>16</v>
      </c>
    </row>
    <row r="14" spans="1:24" x14ac:dyDescent="0.3">
      <c r="A14">
        <v>1013</v>
      </c>
      <c r="B14" t="s">
        <v>97</v>
      </c>
      <c r="C14" t="s">
        <v>98</v>
      </c>
      <c r="D14" t="s">
        <v>233</v>
      </c>
      <c r="E14" t="s">
        <v>99</v>
      </c>
      <c r="F14" t="s">
        <v>100</v>
      </c>
      <c r="G14" t="s">
        <v>234</v>
      </c>
      <c r="H14" t="s">
        <v>64</v>
      </c>
      <c r="I14" t="s">
        <v>65</v>
      </c>
      <c r="J14" t="s">
        <v>66</v>
      </c>
      <c r="K14" t="s">
        <v>42</v>
      </c>
      <c r="L14">
        <v>2016</v>
      </c>
      <c r="M14">
        <v>10</v>
      </c>
      <c r="N14">
        <v>82000</v>
      </c>
      <c r="O14">
        <v>12</v>
      </c>
      <c r="P14">
        <v>9840</v>
      </c>
      <c r="Q14">
        <v>87</v>
      </c>
      <c r="R14" t="s">
        <v>43</v>
      </c>
      <c r="S14" t="s">
        <v>44</v>
      </c>
      <c r="T14" t="s">
        <v>54</v>
      </c>
      <c r="U14" t="s">
        <v>235</v>
      </c>
      <c r="V14">
        <v>7</v>
      </c>
      <c r="W14">
        <v>8</v>
      </c>
      <c r="X14">
        <f>COUNTIF(N$2:N63,"&gt;80000")</f>
        <v>16</v>
      </c>
    </row>
    <row r="15" spans="1:24" x14ac:dyDescent="0.3">
      <c r="A15">
        <v>1014</v>
      </c>
      <c r="B15" t="s">
        <v>101</v>
      </c>
      <c r="C15" t="s">
        <v>102</v>
      </c>
      <c r="D15" t="s">
        <v>236</v>
      </c>
      <c r="E15" t="s">
        <v>103</v>
      </c>
      <c r="F15" t="s">
        <v>11</v>
      </c>
      <c r="G15" t="s">
        <v>237</v>
      </c>
      <c r="H15" t="s">
        <v>40</v>
      </c>
      <c r="I15" t="s">
        <v>210</v>
      </c>
      <c r="J15" t="s">
        <v>41</v>
      </c>
      <c r="K15" t="s">
        <v>42</v>
      </c>
      <c r="L15">
        <v>2022</v>
      </c>
      <c r="M15">
        <v>4</v>
      </c>
      <c r="N15">
        <v>55000</v>
      </c>
      <c r="O15">
        <v>8</v>
      </c>
      <c r="P15">
        <v>4400</v>
      </c>
      <c r="Q15">
        <v>79</v>
      </c>
      <c r="R15" t="s">
        <v>67</v>
      </c>
      <c r="S15" t="s">
        <v>44</v>
      </c>
      <c r="T15" t="s">
        <v>54</v>
      </c>
      <c r="U15" t="s">
        <v>238</v>
      </c>
      <c r="V15">
        <v>3</v>
      </c>
      <c r="W15">
        <v>16</v>
      </c>
      <c r="X15">
        <f>COUNTIF(N$2:N64,"&gt;80000")</f>
        <v>16</v>
      </c>
    </row>
    <row r="16" spans="1:24" x14ac:dyDescent="0.3">
      <c r="A16">
        <v>1015</v>
      </c>
      <c r="B16" t="s">
        <v>61</v>
      </c>
      <c r="C16" t="s">
        <v>104</v>
      </c>
      <c r="D16" t="s">
        <v>239</v>
      </c>
      <c r="E16" t="s">
        <v>105</v>
      </c>
      <c r="F16" t="s">
        <v>39</v>
      </c>
      <c r="G16" t="s">
        <v>240</v>
      </c>
      <c r="H16" t="s">
        <v>92</v>
      </c>
      <c r="I16" t="s">
        <v>93</v>
      </c>
      <c r="J16" t="s">
        <v>59</v>
      </c>
      <c r="K16" t="s">
        <v>42</v>
      </c>
      <c r="L16">
        <v>2020</v>
      </c>
      <c r="M16">
        <v>6</v>
      </c>
      <c r="N16">
        <v>70000</v>
      </c>
      <c r="O16">
        <v>15</v>
      </c>
      <c r="P16">
        <v>10500</v>
      </c>
      <c r="Q16">
        <v>93</v>
      </c>
      <c r="R16" t="s">
        <v>53</v>
      </c>
      <c r="S16" t="s">
        <v>44</v>
      </c>
      <c r="T16" t="s">
        <v>45</v>
      </c>
      <c r="U16" t="s">
        <v>46</v>
      </c>
      <c r="V16">
        <v>5</v>
      </c>
      <c r="W16">
        <v>10</v>
      </c>
      <c r="X16">
        <f>COUNTIF(N$2:N65,"&gt;80000")</f>
        <v>16</v>
      </c>
    </row>
    <row r="17" spans="1:24" x14ac:dyDescent="0.3">
      <c r="A17">
        <v>1016</v>
      </c>
      <c r="B17" t="s">
        <v>106</v>
      </c>
      <c r="C17" t="s">
        <v>107</v>
      </c>
      <c r="D17" t="s">
        <v>241</v>
      </c>
      <c r="E17" t="s">
        <v>108</v>
      </c>
      <c r="F17" t="s">
        <v>50</v>
      </c>
      <c r="G17" t="s">
        <v>242</v>
      </c>
      <c r="H17" t="s">
        <v>87</v>
      </c>
      <c r="I17" t="s">
        <v>88</v>
      </c>
      <c r="J17" t="s">
        <v>66</v>
      </c>
      <c r="K17" t="s">
        <v>42</v>
      </c>
      <c r="L17">
        <v>2023</v>
      </c>
      <c r="M17">
        <v>3</v>
      </c>
      <c r="N17">
        <v>48000</v>
      </c>
      <c r="O17">
        <v>8</v>
      </c>
      <c r="P17">
        <v>3840</v>
      </c>
      <c r="Q17">
        <v>76</v>
      </c>
      <c r="R17" t="s">
        <v>67</v>
      </c>
      <c r="S17" t="s">
        <v>44</v>
      </c>
      <c r="T17" t="s">
        <v>54</v>
      </c>
      <c r="U17" t="s">
        <v>55</v>
      </c>
      <c r="V17">
        <v>2</v>
      </c>
      <c r="W17">
        <v>19</v>
      </c>
      <c r="X17">
        <f>COUNTIF(N$2:N66,"&gt;80000")</f>
        <v>16</v>
      </c>
    </row>
    <row r="18" spans="1:24" x14ac:dyDescent="0.3">
      <c r="A18">
        <v>1017</v>
      </c>
      <c r="B18" t="s">
        <v>109</v>
      </c>
      <c r="C18" t="s">
        <v>110</v>
      </c>
      <c r="D18" t="s">
        <v>243</v>
      </c>
      <c r="E18" t="s">
        <v>111</v>
      </c>
      <c r="F18" t="s">
        <v>12</v>
      </c>
      <c r="G18" t="s">
        <v>244</v>
      </c>
      <c r="H18" t="s">
        <v>112</v>
      </c>
      <c r="I18" t="s">
        <v>112</v>
      </c>
      <c r="J18" t="s">
        <v>41</v>
      </c>
      <c r="K18" t="s">
        <v>42</v>
      </c>
      <c r="L18">
        <v>2021</v>
      </c>
      <c r="M18">
        <v>5</v>
      </c>
      <c r="N18">
        <v>58000</v>
      </c>
      <c r="O18">
        <v>8</v>
      </c>
      <c r="P18">
        <v>4640</v>
      </c>
      <c r="Q18">
        <v>84</v>
      </c>
      <c r="R18" t="s">
        <v>43</v>
      </c>
      <c r="S18" t="s">
        <v>44</v>
      </c>
      <c r="T18" t="s">
        <v>54</v>
      </c>
      <c r="V18">
        <v>4</v>
      </c>
      <c r="W18">
        <v>12</v>
      </c>
      <c r="X18">
        <f>COUNTIF(N$2:N67,"&gt;80000")</f>
        <v>16</v>
      </c>
    </row>
    <row r="19" spans="1:24" x14ac:dyDescent="0.3">
      <c r="A19">
        <v>1018</v>
      </c>
      <c r="B19" t="s">
        <v>113</v>
      </c>
      <c r="C19" t="s">
        <v>114</v>
      </c>
      <c r="D19" t="s">
        <v>245</v>
      </c>
      <c r="E19" t="s">
        <v>115</v>
      </c>
      <c r="F19" t="s">
        <v>39</v>
      </c>
      <c r="G19" t="s">
        <v>246</v>
      </c>
      <c r="H19" t="s">
        <v>51</v>
      </c>
      <c r="I19" t="s">
        <v>52</v>
      </c>
      <c r="J19" t="s">
        <v>41</v>
      </c>
      <c r="K19" t="s">
        <v>42</v>
      </c>
      <c r="L19">
        <v>2019</v>
      </c>
      <c r="M19">
        <v>7</v>
      </c>
      <c r="N19">
        <v>76000</v>
      </c>
      <c r="O19">
        <v>12</v>
      </c>
      <c r="P19">
        <v>9120</v>
      </c>
      <c r="Q19">
        <v>89</v>
      </c>
      <c r="R19" t="s">
        <v>43</v>
      </c>
      <c r="S19" t="s">
        <v>44</v>
      </c>
      <c r="T19" t="s">
        <v>45</v>
      </c>
      <c r="U19" t="s">
        <v>46</v>
      </c>
      <c r="V19">
        <v>6</v>
      </c>
      <c r="W19">
        <v>11</v>
      </c>
      <c r="X19">
        <f>COUNTIF(N$2:N68,"&gt;80000")</f>
        <v>16</v>
      </c>
    </row>
    <row r="20" spans="1:24" x14ac:dyDescent="0.3">
      <c r="A20">
        <v>1019</v>
      </c>
      <c r="B20" t="s">
        <v>116</v>
      </c>
      <c r="C20" t="s">
        <v>102</v>
      </c>
      <c r="D20" t="s">
        <v>247</v>
      </c>
      <c r="E20" t="s">
        <v>117</v>
      </c>
      <c r="F20" t="s">
        <v>100</v>
      </c>
      <c r="G20" t="s">
        <v>248</v>
      </c>
      <c r="H20" t="s">
        <v>118</v>
      </c>
      <c r="I20" t="s">
        <v>210</v>
      </c>
      <c r="J20" t="s">
        <v>66</v>
      </c>
      <c r="K20" t="s">
        <v>42</v>
      </c>
      <c r="L20">
        <v>2023</v>
      </c>
      <c r="M20">
        <v>3</v>
      </c>
      <c r="N20">
        <v>47000</v>
      </c>
      <c r="O20">
        <v>5</v>
      </c>
      <c r="P20">
        <v>2350</v>
      </c>
      <c r="Q20">
        <v>73</v>
      </c>
      <c r="R20" t="s">
        <v>67</v>
      </c>
      <c r="S20" t="s">
        <v>44</v>
      </c>
      <c r="T20" t="s">
        <v>54</v>
      </c>
      <c r="U20" t="s">
        <v>235</v>
      </c>
      <c r="V20">
        <v>2</v>
      </c>
      <c r="W20">
        <v>17</v>
      </c>
      <c r="X20">
        <f>COUNTIF(N$2:N69,"&gt;80000")</f>
        <v>16</v>
      </c>
    </row>
    <row r="21" spans="1:24" x14ac:dyDescent="0.3">
      <c r="A21">
        <v>1020</v>
      </c>
      <c r="B21" t="s">
        <v>119</v>
      </c>
      <c r="C21" t="s">
        <v>120</v>
      </c>
      <c r="D21" t="s">
        <v>249</v>
      </c>
      <c r="E21" t="s">
        <v>121</v>
      </c>
      <c r="F21" t="s">
        <v>11</v>
      </c>
      <c r="G21" t="s">
        <v>250</v>
      </c>
      <c r="H21" t="s">
        <v>64</v>
      </c>
      <c r="I21" t="s">
        <v>65</v>
      </c>
      <c r="J21" t="s">
        <v>59</v>
      </c>
      <c r="K21" t="s">
        <v>42</v>
      </c>
      <c r="L21">
        <v>2020</v>
      </c>
      <c r="M21">
        <v>6</v>
      </c>
      <c r="N21">
        <v>68000</v>
      </c>
      <c r="O21">
        <v>12</v>
      </c>
      <c r="P21">
        <v>8160</v>
      </c>
      <c r="Q21">
        <v>91</v>
      </c>
      <c r="R21" t="s">
        <v>53</v>
      </c>
      <c r="S21" t="s">
        <v>44</v>
      </c>
      <c r="T21" t="s">
        <v>54</v>
      </c>
      <c r="U21" t="s">
        <v>238</v>
      </c>
      <c r="V21">
        <v>5</v>
      </c>
      <c r="W21">
        <v>7</v>
      </c>
      <c r="X21">
        <f>COUNTIF(N$2:N70,"&gt;80000")</f>
        <v>16</v>
      </c>
    </row>
    <row r="22" spans="1:24" x14ac:dyDescent="0.3">
      <c r="A22">
        <v>1021</v>
      </c>
      <c r="B22" t="s">
        <v>122</v>
      </c>
      <c r="C22" t="s">
        <v>123</v>
      </c>
      <c r="D22" t="s">
        <v>251</v>
      </c>
      <c r="E22" t="s">
        <v>124</v>
      </c>
      <c r="F22" t="s">
        <v>39</v>
      </c>
      <c r="G22" t="s">
        <v>252</v>
      </c>
      <c r="H22" t="s">
        <v>40</v>
      </c>
      <c r="I22" t="s">
        <v>210</v>
      </c>
      <c r="J22" t="s">
        <v>41</v>
      </c>
      <c r="K22" t="s">
        <v>42</v>
      </c>
      <c r="L22">
        <v>2018</v>
      </c>
      <c r="M22">
        <v>8</v>
      </c>
      <c r="N22">
        <v>92000</v>
      </c>
      <c r="O22">
        <v>15</v>
      </c>
      <c r="P22">
        <v>13800</v>
      </c>
      <c r="Q22">
        <v>96</v>
      </c>
      <c r="R22" t="s">
        <v>53</v>
      </c>
      <c r="S22" t="s">
        <v>44</v>
      </c>
      <c r="T22" t="s">
        <v>45</v>
      </c>
      <c r="U22" t="s">
        <v>46</v>
      </c>
      <c r="V22">
        <v>8</v>
      </c>
      <c r="W22">
        <v>8</v>
      </c>
      <c r="X22">
        <f>COUNTIF(N$2:N71,"&gt;80000")</f>
        <v>16</v>
      </c>
    </row>
    <row r="23" spans="1:24" x14ac:dyDescent="0.3">
      <c r="A23">
        <v>1022</v>
      </c>
      <c r="B23" t="s">
        <v>125</v>
      </c>
      <c r="C23" t="s">
        <v>126</v>
      </c>
      <c r="D23" t="s">
        <v>253</v>
      </c>
      <c r="E23" t="s">
        <v>127</v>
      </c>
      <c r="F23" t="s">
        <v>63</v>
      </c>
      <c r="G23" t="s">
        <v>254</v>
      </c>
      <c r="H23" t="s">
        <v>112</v>
      </c>
      <c r="I23" t="s">
        <v>112</v>
      </c>
      <c r="J23" t="s">
        <v>66</v>
      </c>
      <c r="K23" t="s">
        <v>42</v>
      </c>
      <c r="L23">
        <v>2021</v>
      </c>
      <c r="M23">
        <v>5</v>
      </c>
      <c r="N23">
        <v>57000</v>
      </c>
      <c r="O23">
        <v>8</v>
      </c>
      <c r="P23">
        <v>4560</v>
      </c>
      <c r="Q23">
        <v>82</v>
      </c>
      <c r="R23" t="s">
        <v>43</v>
      </c>
      <c r="S23" t="s">
        <v>44</v>
      </c>
      <c r="T23" t="s">
        <v>68</v>
      </c>
      <c r="U23" t="s">
        <v>217</v>
      </c>
      <c r="V23">
        <v>3</v>
      </c>
      <c r="W23">
        <v>13</v>
      </c>
      <c r="X23">
        <f>COUNTIF(N$2:N72,"&gt;80000")</f>
        <v>16</v>
      </c>
    </row>
    <row r="24" spans="1:24" x14ac:dyDescent="0.3">
      <c r="A24">
        <v>1023</v>
      </c>
      <c r="B24" t="s">
        <v>128</v>
      </c>
      <c r="C24" t="s">
        <v>107</v>
      </c>
      <c r="D24" t="s">
        <v>255</v>
      </c>
      <c r="E24" t="s">
        <v>129</v>
      </c>
      <c r="F24" t="s">
        <v>39</v>
      </c>
      <c r="G24" t="s">
        <v>256</v>
      </c>
      <c r="H24" t="s">
        <v>87</v>
      </c>
      <c r="I24" t="s">
        <v>88</v>
      </c>
      <c r="J24" t="s">
        <v>41</v>
      </c>
      <c r="K24" t="s">
        <v>42</v>
      </c>
      <c r="L24">
        <v>2017</v>
      </c>
      <c r="M24">
        <v>9</v>
      </c>
      <c r="N24">
        <v>84000</v>
      </c>
      <c r="O24">
        <v>12</v>
      </c>
      <c r="P24">
        <v>10080</v>
      </c>
      <c r="Q24">
        <v>88</v>
      </c>
      <c r="R24" t="s">
        <v>43</v>
      </c>
      <c r="S24" t="s">
        <v>44</v>
      </c>
      <c r="T24" t="s">
        <v>45</v>
      </c>
      <c r="U24" t="s">
        <v>46</v>
      </c>
      <c r="V24">
        <v>6</v>
      </c>
      <c r="W24">
        <v>9</v>
      </c>
      <c r="X24">
        <f>COUNTIF(N$2:N73,"&gt;80000")</f>
        <v>16</v>
      </c>
    </row>
    <row r="25" spans="1:24" x14ac:dyDescent="0.3">
      <c r="A25">
        <v>1024</v>
      </c>
      <c r="B25" t="s">
        <v>130</v>
      </c>
      <c r="C25" t="s">
        <v>131</v>
      </c>
      <c r="D25" t="s">
        <v>257</v>
      </c>
      <c r="E25" t="s">
        <v>132</v>
      </c>
      <c r="F25" t="s">
        <v>12</v>
      </c>
      <c r="G25" t="s">
        <v>223</v>
      </c>
      <c r="H25" t="s">
        <v>133</v>
      </c>
      <c r="I25" t="s">
        <v>134</v>
      </c>
      <c r="J25" t="s">
        <v>66</v>
      </c>
      <c r="K25" t="s">
        <v>42</v>
      </c>
      <c r="L25">
        <v>2023</v>
      </c>
      <c r="M25">
        <v>3</v>
      </c>
      <c r="N25">
        <v>46000</v>
      </c>
      <c r="O25">
        <v>5</v>
      </c>
      <c r="P25">
        <v>2300</v>
      </c>
      <c r="Q25">
        <v>71</v>
      </c>
      <c r="R25" t="s">
        <v>67</v>
      </c>
      <c r="S25" t="s">
        <v>44</v>
      </c>
      <c r="T25" t="s">
        <v>54</v>
      </c>
      <c r="U25" t="s">
        <v>78</v>
      </c>
      <c r="V25">
        <v>2</v>
      </c>
      <c r="W25">
        <v>16</v>
      </c>
      <c r="X25">
        <f>COUNTIF(N$2:N74,"&gt;80000")</f>
        <v>16</v>
      </c>
    </row>
    <row r="26" spans="1:24" x14ac:dyDescent="0.3">
      <c r="A26">
        <v>1025</v>
      </c>
      <c r="B26" t="s">
        <v>135</v>
      </c>
      <c r="C26" t="s">
        <v>37</v>
      </c>
      <c r="D26" t="s">
        <v>258</v>
      </c>
      <c r="E26" t="s">
        <v>136</v>
      </c>
      <c r="F26" t="s">
        <v>100</v>
      </c>
      <c r="G26" t="s">
        <v>259</v>
      </c>
      <c r="H26" t="s">
        <v>92</v>
      </c>
      <c r="I26" t="s">
        <v>93</v>
      </c>
      <c r="J26" t="s">
        <v>41</v>
      </c>
      <c r="K26" t="s">
        <v>42</v>
      </c>
      <c r="L26">
        <v>2020</v>
      </c>
      <c r="M26">
        <v>6</v>
      </c>
      <c r="N26">
        <v>67000</v>
      </c>
      <c r="O26">
        <v>12</v>
      </c>
      <c r="P26">
        <v>8040</v>
      </c>
      <c r="Q26">
        <v>85</v>
      </c>
      <c r="R26" t="s">
        <v>43</v>
      </c>
      <c r="S26" t="s">
        <v>44</v>
      </c>
      <c r="U26" t="s">
        <v>235</v>
      </c>
      <c r="V26">
        <v>5</v>
      </c>
      <c r="W26">
        <v>10</v>
      </c>
      <c r="X26">
        <f>COUNTIF(N$2:N75,"&gt;80000")</f>
        <v>16</v>
      </c>
    </row>
    <row r="27" spans="1:24" x14ac:dyDescent="0.3">
      <c r="A27">
        <v>1026</v>
      </c>
      <c r="B27" t="s">
        <v>137</v>
      </c>
      <c r="C27" t="s">
        <v>138</v>
      </c>
      <c r="D27" t="s">
        <v>260</v>
      </c>
      <c r="E27" t="s">
        <v>139</v>
      </c>
      <c r="F27" t="s">
        <v>39</v>
      </c>
      <c r="G27" t="s">
        <v>261</v>
      </c>
      <c r="H27" t="s">
        <v>51</v>
      </c>
      <c r="I27" t="s">
        <v>52</v>
      </c>
      <c r="J27" t="s">
        <v>59</v>
      </c>
      <c r="K27" t="s">
        <v>42</v>
      </c>
      <c r="L27">
        <v>2019</v>
      </c>
      <c r="M27">
        <v>7</v>
      </c>
      <c r="N27">
        <v>98000</v>
      </c>
      <c r="O27">
        <v>15</v>
      </c>
      <c r="P27">
        <v>14700</v>
      </c>
      <c r="Q27">
        <v>97</v>
      </c>
      <c r="R27" t="s">
        <v>53</v>
      </c>
      <c r="S27" t="s">
        <v>44</v>
      </c>
      <c r="T27" t="s">
        <v>45</v>
      </c>
      <c r="U27" t="s">
        <v>46</v>
      </c>
      <c r="V27">
        <v>8</v>
      </c>
      <c r="W27">
        <v>6</v>
      </c>
      <c r="X27">
        <f>COUNTIF(N$2:N76,"&gt;80000")</f>
        <v>16</v>
      </c>
    </row>
    <row r="28" spans="1:24" x14ac:dyDescent="0.3">
      <c r="A28">
        <v>1027</v>
      </c>
      <c r="B28" t="s">
        <v>140</v>
      </c>
      <c r="C28" t="s">
        <v>141</v>
      </c>
      <c r="D28" t="s">
        <v>262</v>
      </c>
      <c r="E28" t="s">
        <v>142</v>
      </c>
      <c r="F28" t="s">
        <v>63</v>
      </c>
      <c r="G28" t="s">
        <v>263</v>
      </c>
      <c r="H28" t="s">
        <v>143</v>
      </c>
      <c r="I28" t="s">
        <v>264</v>
      </c>
      <c r="J28" t="s">
        <v>41</v>
      </c>
      <c r="K28" t="s">
        <v>42</v>
      </c>
      <c r="L28">
        <v>2018</v>
      </c>
      <c r="M28">
        <v>8</v>
      </c>
      <c r="N28">
        <v>79000</v>
      </c>
      <c r="O28">
        <v>12</v>
      </c>
      <c r="P28">
        <v>9480</v>
      </c>
      <c r="Q28">
        <v>86</v>
      </c>
      <c r="R28" t="s">
        <v>43</v>
      </c>
      <c r="S28" t="s">
        <v>44</v>
      </c>
      <c r="T28" t="s">
        <v>68</v>
      </c>
      <c r="U28" t="s">
        <v>217</v>
      </c>
      <c r="V28">
        <v>4</v>
      </c>
      <c r="W28">
        <v>12</v>
      </c>
      <c r="X28">
        <f>COUNTIF(N$2:N77,"&gt;80000")</f>
        <v>16</v>
      </c>
    </row>
    <row r="29" spans="1:24" x14ac:dyDescent="0.3">
      <c r="A29">
        <v>1028</v>
      </c>
      <c r="B29" t="s">
        <v>144</v>
      </c>
      <c r="C29" t="s">
        <v>145</v>
      </c>
      <c r="D29" t="s">
        <v>265</v>
      </c>
      <c r="E29" t="s">
        <v>146</v>
      </c>
      <c r="F29" t="s">
        <v>50</v>
      </c>
      <c r="G29" t="s">
        <v>266</v>
      </c>
      <c r="H29" t="s">
        <v>87</v>
      </c>
      <c r="I29" t="s">
        <v>88</v>
      </c>
      <c r="J29" t="s">
        <v>41</v>
      </c>
      <c r="K29" t="s">
        <v>42</v>
      </c>
      <c r="L29">
        <v>2020</v>
      </c>
      <c r="M29">
        <v>6</v>
      </c>
      <c r="N29">
        <v>61000</v>
      </c>
      <c r="O29">
        <v>12</v>
      </c>
      <c r="P29">
        <v>7320</v>
      </c>
      <c r="Q29">
        <v>90</v>
      </c>
      <c r="R29" t="s">
        <v>53</v>
      </c>
      <c r="S29" t="s">
        <v>44</v>
      </c>
      <c r="T29" t="s">
        <v>54</v>
      </c>
      <c r="U29" t="s">
        <v>55</v>
      </c>
      <c r="V29">
        <v>5</v>
      </c>
      <c r="W29">
        <v>8</v>
      </c>
      <c r="X29">
        <f>COUNTIF(N$2:N78,"&gt;80000")</f>
        <v>16</v>
      </c>
    </row>
    <row r="30" spans="1:24" x14ac:dyDescent="0.3">
      <c r="A30">
        <v>1029</v>
      </c>
      <c r="B30" t="s">
        <v>147</v>
      </c>
      <c r="C30" t="s">
        <v>148</v>
      </c>
      <c r="D30" t="s">
        <v>267</v>
      </c>
      <c r="E30" t="s">
        <v>149</v>
      </c>
      <c r="F30" t="s">
        <v>39</v>
      </c>
      <c r="G30" t="s">
        <v>268</v>
      </c>
      <c r="H30" t="s">
        <v>40</v>
      </c>
      <c r="I30" t="s">
        <v>210</v>
      </c>
      <c r="J30" t="s">
        <v>66</v>
      </c>
      <c r="K30" t="s">
        <v>42</v>
      </c>
      <c r="L30">
        <v>2021</v>
      </c>
      <c r="M30">
        <v>5</v>
      </c>
      <c r="N30">
        <v>73000</v>
      </c>
      <c r="O30">
        <v>8</v>
      </c>
      <c r="P30">
        <v>5840</v>
      </c>
      <c r="Q30">
        <v>80</v>
      </c>
      <c r="R30" t="s">
        <v>43</v>
      </c>
      <c r="S30" t="s">
        <v>44</v>
      </c>
      <c r="T30" t="s">
        <v>45</v>
      </c>
      <c r="U30" t="s">
        <v>46</v>
      </c>
      <c r="V30">
        <v>4</v>
      </c>
      <c r="W30">
        <v>14</v>
      </c>
      <c r="X30">
        <f>COUNTIF(N$2:N79,"&gt;80000")</f>
        <v>16</v>
      </c>
    </row>
    <row r="31" spans="1:24" x14ac:dyDescent="0.3">
      <c r="A31">
        <v>1030</v>
      </c>
      <c r="B31" t="s">
        <v>150</v>
      </c>
      <c r="C31" t="s">
        <v>151</v>
      </c>
      <c r="D31" t="s">
        <v>269</v>
      </c>
      <c r="E31" t="s">
        <v>152</v>
      </c>
      <c r="F31" t="s">
        <v>11</v>
      </c>
      <c r="G31" t="s">
        <v>270</v>
      </c>
      <c r="H31" t="s">
        <v>87</v>
      </c>
      <c r="I31" t="s">
        <v>88</v>
      </c>
      <c r="J31" t="s">
        <v>59</v>
      </c>
      <c r="K31" t="s">
        <v>42</v>
      </c>
      <c r="L31">
        <v>2022</v>
      </c>
      <c r="M31">
        <v>4</v>
      </c>
      <c r="N31">
        <v>59000</v>
      </c>
      <c r="O31">
        <v>12</v>
      </c>
      <c r="P31">
        <v>7080</v>
      </c>
      <c r="Q31">
        <v>87</v>
      </c>
      <c r="R31" t="s">
        <v>43</v>
      </c>
      <c r="S31" t="s">
        <v>44</v>
      </c>
      <c r="T31" t="s">
        <v>54</v>
      </c>
      <c r="U31" t="s">
        <v>238</v>
      </c>
      <c r="V31">
        <v>3</v>
      </c>
      <c r="W31">
        <v>11</v>
      </c>
      <c r="X31">
        <f>COUNTIF(N$2:N80,"&gt;80000")</f>
        <v>16</v>
      </c>
    </row>
    <row r="32" spans="1:24" x14ac:dyDescent="0.3">
      <c r="A32">
        <v>1031</v>
      </c>
      <c r="B32" t="s">
        <v>153</v>
      </c>
      <c r="C32" t="s">
        <v>120</v>
      </c>
      <c r="D32" t="s">
        <v>271</v>
      </c>
      <c r="E32" t="s">
        <v>154</v>
      </c>
      <c r="F32" t="s">
        <v>39</v>
      </c>
      <c r="G32" t="s">
        <v>272</v>
      </c>
      <c r="H32" t="s">
        <v>64</v>
      </c>
      <c r="I32" t="s">
        <v>65</v>
      </c>
      <c r="J32" t="s">
        <v>41</v>
      </c>
      <c r="K32" t="s">
        <v>42</v>
      </c>
      <c r="L32">
        <v>2016</v>
      </c>
      <c r="M32">
        <v>10</v>
      </c>
      <c r="N32">
        <v>125000</v>
      </c>
      <c r="O32">
        <v>15</v>
      </c>
      <c r="P32">
        <v>18750</v>
      </c>
      <c r="Q32">
        <v>95</v>
      </c>
      <c r="R32" t="s">
        <v>53</v>
      </c>
      <c r="S32" t="s">
        <v>44</v>
      </c>
      <c r="T32" t="s">
        <v>45</v>
      </c>
      <c r="U32" t="s">
        <v>46</v>
      </c>
      <c r="V32">
        <v>9</v>
      </c>
      <c r="W32">
        <v>7</v>
      </c>
      <c r="X32">
        <f>COUNTIF(N$2:N81,"&gt;80000")</f>
        <v>16</v>
      </c>
    </row>
    <row r="33" spans="1:24" x14ac:dyDescent="0.3">
      <c r="A33">
        <v>1032</v>
      </c>
      <c r="B33" t="s">
        <v>155</v>
      </c>
      <c r="C33" t="s">
        <v>156</v>
      </c>
      <c r="D33" t="s">
        <v>273</v>
      </c>
      <c r="E33" t="s">
        <v>157</v>
      </c>
      <c r="F33" t="s">
        <v>63</v>
      </c>
      <c r="G33" t="s">
        <v>216</v>
      </c>
      <c r="H33" t="s">
        <v>143</v>
      </c>
      <c r="I33" t="s">
        <v>264</v>
      </c>
      <c r="J33" t="s">
        <v>66</v>
      </c>
      <c r="K33" t="s">
        <v>42</v>
      </c>
      <c r="L33">
        <v>2022</v>
      </c>
      <c r="M33">
        <v>4</v>
      </c>
      <c r="N33">
        <v>60000</v>
      </c>
      <c r="O33">
        <v>8</v>
      </c>
      <c r="P33">
        <v>4800</v>
      </c>
      <c r="Q33">
        <v>78</v>
      </c>
      <c r="R33" t="s">
        <v>67</v>
      </c>
      <c r="S33" t="s">
        <v>44</v>
      </c>
      <c r="T33" t="s">
        <v>68</v>
      </c>
      <c r="U33" t="s">
        <v>217</v>
      </c>
      <c r="V33">
        <v>3</v>
      </c>
      <c r="W33">
        <v>15</v>
      </c>
      <c r="X33">
        <f>COUNTIF(N$2:N82,"&gt;80000")</f>
        <v>16</v>
      </c>
    </row>
    <row r="34" spans="1:24" x14ac:dyDescent="0.3">
      <c r="A34">
        <v>1033</v>
      </c>
      <c r="B34" t="s">
        <v>158</v>
      </c>
      <c r="C34" t="s">
        <v>37</v>
      </c>
      <c r="D34" t="s">
        <v>274</v>
      </c>
      <c r="E34" t="s">
        <v>159</v>
      </c>
      <c r="F34" t="s">
        <v>12</v>
      </c>
      <c r="G34" t="s">
        <v>275</v>
      </c>
      <c r="H34" t="s">
        <v>92</v>
      </c>
      <c r="I34" t="s">
        <v>93</v>
      </c>
      <c r="J34" t="s">
        <v>41</v>
      </c>
      <c r="K34" t="s">
        <v>42</v>
      </c>
      <c r="L34">
        <v>2017</v>
      </c>
      <c r="M34">
        <v>9</v>
      </c>
      <c r="N34">
        <v>98000</v>
      </c>
      <c r="O34">
        <v>15</v>
      </c>
      <c r="P34">
        <v>14700</v>
      </c>
      <c r="Q34">
        <v>93</v>
      </c>
      <c r="R34" t="s">
        <v>53</v>
      </c>
      <c r="S34" t="s">
        <v>44</v>
      </c>
      <c r="T34" t="s">
        <v>54</v>
      </c>
      <c r="U34" t="s">
        <v>78</v>
      </c>
      <c r="V34">
        <v>7</v>
      </c>
      <c r="W34">
        <v>9</v>
      </c>
      <c r="X34">
        <f>COUNTIF(N$2:N83,"&gt;80000")</f>
        <v>16</v>
      </c>
    </row>
    <row r="35" spans="1:24" x14ac:dyDescent="0.3">
      <c r="A35">
        <v>1034</v>
      </c>
      <c r="B35" t="s">
        <v>160</v>
      </c>
      <c r="C35" t="s">
        <v>161</v>
      </c>
      <c r="D35" t="s">
        <v>276</v>
      </c>
      <c r="E35" t="s">
        <v>162</v>
      </c>
      <c r="F35" t="s">
        <v>39</v>
      </c>
      <c r="G35" t="s">
        <v>277</v>
      </c>
      <c r="H35" t="s">
        <v>40</v>
      </c>
      <c r="I35" t="s">
        <v>210</v>
      </c>
      <c r="J35" t="s">
        <v>66</v>
      </c>
      <c r="K35" t="s">
        <v>42</v>
      </c>
      <c r="L35">
        <v>2023</v>
      </c>
      <c r="M35">
        <v>3</v>
      </c>
      <c r="N35">
        <v>52000</v>
      </c>
      <c r="O35">
        <v>8</v>
      </c>
      <c r="P35">
        <v>4160</v>
      </c>
      <c r="Q35">
        <v>75</v>
      </c>
      <c r="R35" t="s">
        <v>67</v>
      </c>
      <c r="S35" t="s">
        <v>44</v>
      </c>
      <c r="T35" t="s">
        <v>45</v>
      </c>
      <c r="U35" t="s">
        <v>46</v>
      </c>
      <c r="V35">
        <v>2</v>
      </c>
      <c r="W35">
        <v>18</v>
      </c>
      <c r="X35">
        <f>COUNTIF(N$2:N84,"&gt;80000")</f>
        <v>16</v>
      </c>
    </row>
    <row r="36" spans="1:24" x14ac:dyDescent="0.3">
      <c r="A36">
        <v>1035</v>
      </c>
      <c r="B36" t="s">
        <v>123</v>
      </c>
      <c r="C36" t="s">
        <v>102</v>
      </c>
      <c r="D36" t="s">
        <v>278</v>
      </c>
      <c r="E36" t="s">
        <v>163</v>
      </c>
      <c r="F36" t="s">
        <v>100</v>
      </c>
      <c r="G36" t="s">
        <v>279</v>
      </c>
      <c r="H36" t="s">
        <v>118</v>
      </c>
      <c r="I36" t="s">
        <v>210</v>
      </c>
      <c r="J36" t="s">
        <v>41</v>
      </c>
      <c r="K36" t="s">
        <v>42</v>
      </c>
      <c r="L36">
        <v>2021</v>
      </c>
      <c r="M36">
        <v>5</v>
      </c>
      <c r="N36">
        <v>62000</v>
      </c>
      <c r="O36">
        <v>8</v>
      </c>
      <c r="P36">
        <v>4960</v>
      </c>
      <c r="Q36">
        <v>83</v>
      </c>
      <c r="R36" t="s">
        <v>43</v>
      </c>
      <c r="S36" t="s">
        <v>44</v>
      </c>
      <c r="T36" t="s">
        <v>54</v>
      </c>
      <c r="U36" t="s">
        <v>235</v>
      </c>
      <c r="V36">
        <v>4</v>
      </c>
    </row>
    <row r="37" spans="1:24" x14ac:dyDescent="0.3">
      <c r="A37">
        <v>1036</v>
      </c>
      <c r="B37" t="s">
        <v>164</v>
      </c>
      <c r="C37" t="s">
        <v>165</v>
      </c>
      <c r="D37" t="s">
        <v>280</v>
      </c>
      <c r="E37" t="s">
        <v>166</v>
      </c>
      <c r="F37" t="s">
        <v>50</v>
      </c>
      <c r="G37" t="s">
        <v>281</v>
      </c>
      <c r="H37" t="s">
        <v>51</v>
      </c>
      <c r="I37" t="s">
        <v>52</v>
      </c>
      <c r="J37" t="s">
        <v>59</v>
      </c>
      <c r="K37" t="s">
        <v>42</v>
      </c>
      <c r="L37">
        <v>2022</v>
      </c>
      <c r="M37">
        <v>4</v>
      </c>
      <c r="N37">
        <v>56000</v>
      </c>
      <c r="O37">
        <v>12</v>
      </c>
      <c r="P37">
        <v>6720</v>
      </c>
      <c r="Q37">
        <v>88</v>
      </c>
      <c r="R37" t="s">
        <v>43</v>
      </c>
      <c r="S37" t="s">
        <v>44</v>
      </c>
      <c r="T37" t="s">
        <v>54</v>
      </c>
      <c r="U37" t="s">
        <v>55</v>
      </c>
      <c r="V37">
        <v>3</v>
      </c>
      <c r="W37">
        <v>10</v>
      </c>
    </row>
    <row r="38" spans="1:24" x14ac:dyDescent="0.3">
      <c r="A38">
        <v>1037</v>
      </c>
      <c r="B38" t="s">
        <v>167</v>
      </c>
      <c r="C38" t="s">
        <v>168</v>
      </c>
      <c r="D38" t="s">
        <v>282</v>
      </c>
      <c r="E38" t="s">
        <v>169</v>
      </c>
      <c r="F38" t="s">
        <v>39</v>
      </c>
      <c r="G38" t="s">
        <v>283</v>
      </c>
      <c r="H38" t="s">
        <v>112</v>
      </c>
      <c r="I38" t="s">
        <v>112</v>
      </c>
      <c r="J38" t="s">
        <v>66</v>
      </c>
      <c r="K38" t="s">
        <v>42</v>
      </c>
      <c r="L38">
        <v>2019</v>
      </c>
      <c r="M38">
        <v>7</v>
      </c>
      <c r="N38">
        <v>72000</v>
      </c>
      <c r="O38">
        <v>8</v>
      </c>
      <c r="P38">
        <v>5760</v>
      </c>
      <c r="Q38">
        <v>84</v>
      </c>
      <c r="R38" t="s">
        <v>43</v>
      </c>
      <c r="S38" t="s">
        <v>44</v>
      </c>
      <c r="T38" t="s">
        <v>45</v>
      </c>
      <c r="U38" t="s">
        <v>46</v>
      </c>
      <c r="V38">
        <v>5</v>
      </c>
      <c r="W38">
        <v>12</v>
      </c>
    </row>
    <row r="39" spans="1:24" x14ac:dyDescent="0.3">
      <c r="A39">
        <v>1038</v>
      </c>
      <c r="B39" t="s">
        <v>170</v>
      </c>
      <c r="C39" t="s">
        <v>171</v>
      </c>
      <c r="D39" t="s">
        <v>284</v>
      </c>
      <c r="E39" t="s">
        <v>172</v>
      </c>
      <c r="F39" t="s">
        <v>11</v>
      </c>
      <c r="G39" t="s">
        <v>285</v>
      </c>
      <c r="H39" t="s">
        <v>51</v>
      </c>
      <c r="I39" t="s">
        <v>52</v>
      </c>
      <c r="J39" t="s">
        <v>41</v>
      </c>
      <c r="K39" t="s">
        <v>42</v>
      </c>
      <c r="L39">
        <v>2018</v>
      </c>
      <c r="M39">
        <v>8</v>
      </c>
      <c r="N39">
        <v>88000</v>
      </c>
      <c r="O39">
        <v>15</v>
      </c>
      <c r="P39">
        <v>13200</v>
      </c>
      <c r="Q39">
        <v>92</v>
      </c>
      <c r="R39" t="s">
        <v>53</v>
      </c>
      <c r="S39" t="s">
        <v>44</v>
      </c>
      <c r="T39" t="s">
        <v>54</v>
      </c>
      <c r="U39" t="s">
        <v>238</v>
      </c>
      <c r="V39">
        <v>6</v>
      </c>
      <c r="W39">
        <v>8</v>
      </c>
    </row>
    <row r="40" spans="1:24" x14ac:dyDescent="0.3">
      <c r="A40">
        <v>1039</v>
      </c>
      <c r="B40" t="s">
        <v>104</v>
      </c>
      <c r="C40" t="s">
        <v>173</v>
      </c>
      <c r="D40" t="s">
        <v>286</v>
      </c>
      <c r="E40" t="s">
        <v>174</v>
      </c>
      <c r="F40" t="s">
        <v>39</v>
      </c>
      <c r="G40" t="s">
        <v>287</v>
      </c>
      <c r="H40" t="s">
        <v>40</v>
      </c>
      <c r="I40" t="s">
        <v>210</v>
      </c>
      <c r="J40" t="s">
        <v>41</v>
      </c>
      <c r="K40" t="s">
        <v>42</v>
      </c>
      <c r="L40">
        <v>2023</v>
      </c>
      <c r="M40">
        <v>3</v>
      </c>
      <c r="N40">
        <v>56000</v>
      </c>
      <c r="O40">
        <v>12</v>
      </c>
      <c r="P40">
        <v>6720</v>
      </c>
      <c r="Q40">
        <v>86</v>
      </c>
      <c r="R40" t="s">
        <v>43</v>
      </c>
      <c r="S40" t="s">
        <v>44</v>
      </c>
      <c r="T40" t="s">
        <v>45</v>
      </c>
      <c r="U40" t="s">
        <v>46</v>
      </c>
      <c r="V40">
        <v>3</v>
      </c>
      <c r="W40">
        <v>15</v>
      </c>
    </row>
    <row r="41" spans="1:24" x14ac:dyDescent="0.3">
      <c r="A41">
        <v>1040</v>
      </c>
      <c r="B41" t="s">
        <v>175</v>
      </c>
      <c r="C41" t="s">
        <v>176</v>
      </c>
      <c r="D41" t="s">
        <v>288</v>
      </c>
      <c r="E41" t="s">
        <v>177</v>
      </c>
      <c r="F41" t="s">
        <v>63</v>
      </c>
      <c r="G41" t="s">
        <v>289</v>
      </c>
      <c r="H41" t="s">
        <v>178</v>
      </c>
      <c r="I41" t="s">
        <v>210</v>
      </c>
      <c r="J41" t="s">
        <v>66</v>
      </c>
      <c r="K41" t="s">
        <v>42</v>
      </c>
      <c r="L41">
        <v>2024</v>
      </c>
      <c r="M41">
        <v>2</v>
      </c>
      <c r="N41">
        <v>44000</v>
      </c>
      <c r="O41">
        <v>5</v>
      </c>
      <c r="P41">
        <v>2200</v>
      </c>
      <c r="Q41">
        <v>74</v>
      </c>
      <c r="R41" t="s">
        <v>67</v>
      </c>
      <c r="S41" t="s">
        <v>44</v>
      </c>
      <c r="T41" t="s">
        <v>68</v>
      </c>
      <c r="U41" t="s">
        <v>217</v>
      </c>
      <c r="V41">
        <v>2</v>
      </c>
      <c r="W41">
        <v>17</v>
      </c>
    </row>
    <row r="42" spans="1:24" x14ac:dyDescent="0.3">
      <c r="A42">
        <v>1041</v>
      </c>
      <c r="B42" t="s">
        <v>179</v>
      </c>
      <c r="C42" t="s">
        <v>180</v>
      </c>
      <c r="D42" t="s">
        <v>290</v>
      </c>
      <c r="E42" t="s">
        <v>181</v>
      </c>
      <c r="F42" t="s">
        <v>12</v>
      </c>
      <c r="G42" t="s">
        <v>291</v>
      </c>
      <c r="H42" t="s">
        <v>182</v>
      </c>
      <c r="I42" t="s">
        <v>93</v>
      </c>
      <c r="J42" t="s">
        <v>41</v>
      </c>
      <c r="K42" t="s">
        <v>42</v>
      </c>
      <c r="L42">
        <v>2020</v>
      </c>
      <c r="M42">
        <v>6</v>
      </c>
      <c r="N42">
        <v>82000</v>
      </c>
      <c r="O42">
        <v>12</v>
      </c>
      <c r="P42">
        <v>9840</v>
      </c>
      <c r="Q42">
        <v>89</v>
      </c>
      <c r="R42" t="s">
        <v>43</v>
      </c>
      <c r="S42" t="s">
        <v>44</v>
      </c>
      <c r="T42" t="s">
        <v>54</v>
      </c>
      <c r="U42" t="s">
        <v>78</v>
      </c>
      <c r="V42">
        <v>5</v>
      </c>
      <c r="W42">
        <v>9</v>
      </c>
    </row>
    <row r="43" spans="1:24" x14ac:dyDescent="0.3">
      <c r="A43">
        <v>1042</v>
      </c>
      <c r="B43" t="s">
        <v>183</v>
      </c>
      <c r="C43" t="s">
        <v>184</v>
      </c>
      <c r="D43" t="s">
        <v>292</v>
      </c>
      <c r="E43" t="s">
        <v>185</v>
      </c>
      <c r="F43" t="s">
        <v>39</v>
      </c>
      <c r="G43" t="s">
        <v>293</v>
      </c>
      <c r="H43" t="s">
        <v>40</v>
      </c>
      <c r="I43" t="s">
        <v>210</v>
      </c>
      <c r="J43" t="s">
        <v>59</v>
      </c>
      <c r="K43" t="s">
        <v>42</v>
      </c>
      <c r="L43">
        <v>2021</v>
      </c>
      <c r="M43">
        <v>5</v>
      </c>
      <c r="N43">
        <v>68000</v>
      </c>
      <c r="O43">
        <v>15</v>
      </c>
      <c r="P43">
        <v>10200</v>
      </c>
      <c r="Q43">
        <v>94</v>
      </c>
      <c r="R43" t="s">
        <v>53</v>
      </c>
      <c r="S43" t="s">
        <v>44</v>
      </c>
      <c r="T43" t="s">
        <v>45</v>
      </c>
      <c r="U43" t="s">
        <v>46</v>
      </c>
      <c r="V43">
        <v>6</v>
      </c>
      <c r="W43">
        <v>7</v>
      </c>
    </row>
    <row r="44" spans="1:24" x14ac:dyDescent="0.3">
      <c r="A44">
        <v>1043</v>
      </c>
      <c r="B44" t="s">
        <v>186</v>
      </c>
      <c r="C44" t="s">
        <v>187</v>
      </c>
      <c r="D44" t="s">
        <v>294</v>
      </c>
      <c r="E44" t="s">
        <v>188</v>
      </c>
      <c r="F44" t="s">
        <v>100</v>
      </c>
      <c r="G44" t="s">
        <v>295</v>
      </c>
      <c r="H44" t="s">
        <v>51</v>
      </c>
      <c r="I44" t="s">
        <v>52</v>
      </c>
      <c r="J44" t="s">
        <v>66</v>
      </c>
      <c r="K44" t="s">
        <v>42</v>
      </c>
      <c r="L44">
        <v>2022</v>
      </c>
      <c r="M44">
        <v>4</v>
      </c>
      <c r="N44">
        <v>58000</v>
      </c>
      <c r="O44">
        <v>8</v>
      </c>
      <c r="P44">
        <v>4640</v>
      </c>
      <c r="Q44">
        <v>81</v>
      </c>
      <c r="R44" t="s">
        <v>43</v>
      </c>
      <c r="S44" t="s">
        <v>44</v>
      </c>
      <c r="T44" t="s">
        <v>54</v>
      </c>
      <c r="U44" t="s">
        <v>235</v>
      </c>
      <c r="V44">
        <v>3</v>
      </c>
      <c r="W44">
        <v>14</v>
      </c>
    </row>
    <row r="45" spans="1:24" x14ac:dyDescent="0.3">
      <c r="A45">
        <v>1044</v>
      </c>
      <c r="B45" t="s">
        <v>189</v>
      </c>
      <c r="C45" t="s">
        <v>184</v>
      </c>
      <c r="D45" t="s">
        <v>296</v>
      </c>
      <c r="E45" t="s">
        <v>190</v>
      </c>
      <c r="F45" t="s">
        <v>50</v>
      </c>
      <c r="G45" t="s">
        <v>297</v>
      </c>
      <c r="H45" t="s">
        <v>64</v>
      </c>
      <c r="I45" t="s">
        <v>65</v>
      </c>
      <c r="J45" t="s">
        <v>41</v>
      </c>
      <c r="K45" t="s">
        <v>42</v>
      </c>
      <c r="L45">
        <v>2018</v>
      </c>
      <c r="M45">
        <v>8</v>
      </c>
      <c r="N45">
        <v>85000</v>
      </c>
      <c r="O45">
        <v>12</v>
      </c>
      <c r="P45">
        <v>10200</v>
      </c>
      <c r="Q45">
        <v>91</v>
      </c>
      <c r="R45" t="s">
        <v>53</v>
      </c>
      <c r="S45" t="s">
        <v>44</v>
      </c>
      <c r="T45" t="s">
        <v>54</v>
      </c>
      <c r="U45" t="s">
        <v>55</v>
      </c>
      <c r="V45">
        <v>6</v>
      </c>
      <c r="W45">
        <v>6</v>
      </c>
    </row>
    <row r="46" spans="1:24" x14ac:dyDescent="0.3">
      <c r="A46">
        <v>1045</v>
      </c>
      <c r="B46" t="s">
        <v>191</v>
      </c>
      <c r="C46" t="s">
        <v>37</v>
      </c>
      <c r="D46" t="s">
        <v>298</v>
      </c>
      <c r="E46" t="s">
        <v>192</v>
      </c>
      <c r="F46" t="s">
        <v>39</v>
      </c>
      <c r="G46" t="s">
        <v>299</v>
      </c>
      <c r="H46" t="s">
        <v>92</v>
      </c>
      <c r="I46" t="s">
        <v>93</v>
      </c>
      <c r="J46" t="s">
        <v>59</v>
      </c>
      <c r="K46" t="s">
        <v>42</v>
      </c>
      <c r="L46">
        <v>2017</v>
      </c>
      <c r="M46">
        <v>9</v>
      </c>
      <c r="N46">
        <v>102000</v>
      </c>
      <c r="O46">
        <v>15</v>
      </c>
      <c r="P46">
        <v>15300</v>
      </c>
      <c r="Q46">
        <v>96</v>
      </c>
      <c r="R46" t="s">
        <v>53</v>
      </c>
      <c r="S46" t="s">
        <v>44</v>
      </c>
      <c r="T46" t="s">
        <v>45</v>
      </c>
      <c r="U46" t="s">
        <v>46</v>
      </c>
      <c r="V46">
        <v>8</v>
      </c>
      <c r="W46">
        <v>5</v>
      </c>
    </row>
    <row r="47" spans="1:24" x14ac:dyDescent="0.3">
      <c r="A47">
        <v>1046</v>
      </c>
      <c r="B47" t="s">
        <v>193</v>
      </c>
      <c r="C47" t="s">
        <v>194</v>
      </c>
      <c r="D47" t="s">
        <v>300</v>
      </c>
      <c r="E47" t="s">
        <v>195</v>
      </c>
      <c r="F47" t="s">
        <v>63</v>
      </c>
      <c r="G47" t="s">
        <v>301</v>
      </c>
      <c r="H47" t="s">
        <v>182</v>
      </c>
      <c r="I47" t="s">
        <v>93</v>
      </c>
      <c r="J47" t="s">
        <v>66</v>
      </c>
      <c r="K47" t="s">
        <v>42</v>
      </c>
      <c r="L47">
        <v>2016</v>
      </c>
      <c r="M47">
        <v>10</v>
      </c>
      <c r="N47">
        <v>110000</v>
      </c>
      <c r="O47">
        <v>15</v>
      </c>
      <c r="P47">
        <v>16500</v>
      </c>
      <c r="Q47">
        <v>94</v>
      </c>
      <c r="R47" t="s">
        <v>53</v>
      </c>
      <c r="S47" t="s">
        <v>44</v>
      </c>
      <c r="T47" t="s">
        <v>68</v>
      </c>
      <c r="U47" t="s">
        <v>217</v>
      </c>
      <c r="V47">
        <v>7</v>
      </c>
      <c r="W47">
        <v>8</v>
      </c>
    </row>
    <row r="48" spans="1:24" x14ac:dyDescent="0.3">
      <c r="A48">
        <v>1047</v>
      </c>
      <c r="B48" t="s">
        <v>196</v>
      </c>
      <c r="C48" t="s">
        <v>197</v>
      </c>
      <c r="D48" t="s">
        <v>302</v>
      </c>
      <c r="E48" t="s">
        <v>198</v>
      </c>
      <c r="F48" t="s">
        <v>12</v>
      </c>
      <c r="G48" t="s">
        <v>223</v>
      </c>
      <c r="H48" t="s">
        <v>133</v>
      </c>
      <c r="I48" t="s">
        <v>134</v>
      </c>
      <c r="J48" t="s">
        <v>66</v>
      </c>
      <c r="K48" t="s">
        <v>42</v>
      </c>
      <c r="L48">
        <v>2024</v>
      </c>
      <c r="M48">
        <v>2</v>
      </c>
      <c r="N48">
        <v>43000</v>
      </c>
      <c r="O48">
        <v>5</v>
      </c>
      <c r="P48">
        <v>2150</v>
      </c>
      <c r="Q48">
        <v>69</v>
      </c>
      <c r="R48" t="s">
        <v>303</v>
      </c>
      <c r="S48" t="s">
        <v>44</v>
      </c>
      <c r="T48" t="s">
        <v>54</v>
      </c>
      <c r="U48" t="s">
        <v>78</v>
      </c>
      <c r="V48">
        <v>2</v>
      </c>
      <c r="W48">
        <v>18</v>
      </c>
    </row>
    <row r="49" spans="1:23" x14ac:dyDescent="0.3">
      <c r="A49">
        <v>1048</v>
      </c>
      <c r="B49" t="s">
        <v>199</v>
      </c>
      <c r="C49" t="s">
        <v>161</v>
      </c>
      <c r="D49" t="s">
        <v>304</v>
      </c>
      <c r="E49" t="s">
        <v>200</v>
      </c>
      <c r="F49" t="s">
        <v>39</v>
      </c>
      <c r="G49" t="s">
        <v>305</v>
      </c>
      <c r="H49" t="s">
        <v>118</v>
      </c>
      <c r="I49" t="s">
        <v>210</v>
      </c>
      <c r="J49" t="s">
        <v>41</v>
      </c>
      <c r="K49" t="s">
        <v>42</v>
      </c>
      <c r="L49">
        <v>2020</v>
      </c>
      <c r="M49">
        <v>6</v>
      </c>
      <c r="N49">
        <v>69000</v>
      </c>
      <c r="O49">
        <v>12</v>
      </c>
      <c r="P49">
        <v>8280</v>
      </c>
      <c r="Q49">
        <v>87</v>
      </c>
      <c r="R49" t="s">
        <v>43</v>
      </c>
      <c r="S49" t="s">
        <v>44</v>
      </c>
      <c r="T49" t="s">
        <v>45</v>
      </c>
      <c r="U49" t="s">
        <v>46</v>
      </c>
      <c r="V49">
        <v>5</v>
      </c>
      <c r="W49">
        <v>11</v>
      </c>
    </row>
    <row r="50" spans="1:23" x14ac:dyDescent="0.3">
      <c r="A50">
        <v>1049</v>
      </c>
      <c r="B50" t="s">
        <v>201</v>
      </c>
      <c r="C50" t="s">
        <v>202</v>
      </c>
      <c r="D50" t="s">
        <v>306</v>
      </c>
      <c r="E50" t="s">
        <v>203</v>
      </c>
      <c r="F50" t="s">
        <v>100</v>
      </c>
      <c r="G50" t="s">
        <v>307</v>
      </c>
      <c r="H50" t="s">
        <v>64</v>
      </c>
      <c r="I50" t="s">
        <v>65</v>
      </c>
      <c r="J50" t="s">
        <v>41</v>
      </c>
      <c r="K50" t="s">
        <v>42</v>
      </c>
      <c r="L50">
        <v>2021</v>
      </c>
      <c r="M50">
        <v>5</v>
      </c>
      <c r="N50">
        <v>60000</v>
      </c>
      <c r="O50">
        <v>12</v>
      </c>
      <c r="P50">
        <v>7200</v>
      </c>
      <c r="Q50">
        <v>85</v>
      </c>
      <c r="R50" t="s">
        <v>43</v>
      </c>
      <c r="S50" t="s">
        <v>44</v>
      </c>
      <c r="T50" t="s">
        <v>54</v>
      </c>
      <c r="U50" t="s">
        <v>235</v>
      </c>
      <c r="V50">
        <v>4</v>
      </c>
      <c r="W50">
        <v>13</v>
      </c>
    </row>
    <row r="51" spans="1:23" x14ac:dyDescent="0.3">
      <c r="A51">
        <v>1050</v>
      </c>
      <c r="B51" t="s">
        <v>204</v>
      </c>
      <c r="C51" t="s">
        <v>184</v>
      </c>
      <c r="D51" t="s">
        <v>308</v>
      </c>
      <c r="E51" t="s">
        <v>205</v>
      </c>
      <c r="F51" t="s">
        <v>11</v>
      </c>
      <c r="G51" t="s">
        <v>309</v>
      </c>
      <c r="H51" t="s">
        <v>51</v>
      </c>
      <c r="I51" t="s">
        <v>52</v>
      </c>
      <c r="J51" t="s">
        <v>59</v>
      </c>
      <c r="K51" t="s">
        <v>42</v>
      </c>
      <c r="L51">
        <v>2019</v>
      </c>
      <c r="M51">
        <v>7</v>
      </c>
      <c r="N51">
        <v>81000</v>
      </c>
      <c r="O51">
        <v>12</v>
      </c>
      <c r="P51">
        <v>9720</v>
      </c>
      <c r="Q51">
        <v>90</v>
      </c>
      <c r="R51" t="s">
        <v>53</v>
      </c>
      <c r="S51" t="s">
        <v>44</v>
      </c>
      <c r="T51" t="s">
        <v>54</v>
      </c>
      <c r="U51" t="s">
        <v>238</v>
      </c>
      <c r="V51">
        <v>6</v>
      </c>
      <c r="W51">
        <v>9</v>
      </c>
    </row>
    <row r="55" spans="1:23" x14ac:dyDescent="0.3">
      <c r="B55" t="s">
        <v>18</v>
      </c>
      <c r="C55" t="s">
        <v>310</v>
      </c>
      <c r="D55" t="s">
        <v>312</v>
      </c>
      <c r="E55" t="s">
        <v>313</v>
      </c>
      <c r="F55" t="s">
        <v>314</v>
      </c>
      <c r="G55" t="s">
        <v>321</v>
      </c>
      <c r="J55" t="s">
        <v>329</v>
      </c>
      <c r="K55" s="6" t="s">
        <v>330</v>
      </c>
      <c r="L55" s="6" t="s">
        <v>313</v>
      </c>
      <c r="M55" s="6" t="s">
        <v>331</v>
      </c>
      <c r="N55" s="6" t="s">
        <v>334</v>
      </c>
      <c r="O55" s="6" t="s">
        <v>332</v>
      </c>
      <c r="P55" s="6" t="s">
        <v>335</v>
      </c>
      <c r="Q55" s="6" t="s">
        <v>336</v>
      </c>
      <c r="R55" t="s">
        <v>333</v>
      </c>
    </row>
    <row r="56" spans="1:23" x14ac:dyDescent="0.3">
      <c r="B56" t="s">
        <v>39</v>
      </c>
      <c r="C56">
        <f>COUNTIF(F2:F51,"IT")</f>
        <v>18</v>
      </c>
      <c r="D56">
        <f>SUMIF(F2:F51,"IT",(N2:N51))</f>
        <v>1435000</v>
      </c>
      <c r="E56">
        <f>SUMIF(F2:F51,B56,(P2:P51))</f>
        <v>183910</v>
      </c>
      <c r="F56">
        <f>SUMIF(F2:F51,B56,(V2:V51))</f>
        <v>102</v>
      </c>
      <c r="G56" s="11"/>
      <c r="J56">
        <f>SUMIFS(N3:N51,F3:F51,Table1[[#This Row],[Department]],R3:R51,"Excellent")</f>
        <v>828000</v>
      </c>
      <c r="K56" s="6">
        <f>SUM(N2:N51)</f>
        <v>3561000</v>
      </c>
      <c r="L56" s="6">
        <f>SUM(P2:P51)</f>
        <v>413810</v>
      </c>
      <c r="M56" s="6">
        <f>AVERAGE(N2:N51)</f>
        <v>71220</v>
      </c>
      <c r="N56" s="6">
        <f>COUNT(A2:A51)</f>
        <v>50</v>
      </c>
      <c r="O56" s="6">
        <f>COUNTIF(N2:N51,"&gt;80000")</f>
        <v>16</v>
      </c>
      <c r="P56" s="6">
        <f>COUNTIFS(F2:F51,"IT",R2:R51,"Excellent",N2:N51,"&gt;80000")</f>
        <v>7</v>
      </c>
      <c r="Q56" s="6">
        <f>COUNTIFS(F2:F51,"IT",R2:R51,"Excellent",M2:M51,"&gt;5")</f>
        <v>8</v>
      </c>
      <c r="R56">
        <f>AVERAGE(Q2:Q51)</f>
        <v>85.94</v>
      </c>
    </row>
    <row r="57" spans="1:23" x14ac:dyDescent="0.3">
      <c r="B57" t="s">
        <v>50</v>
      </c>
      <c r="C57">
        <f>COUNTIF(F3:F52,"HR")</f>
        <v>6</v>
      </c>
      <c r="D57">
        <f>SUMIF(F3:F52,"HR",(N3:N52))</f>
        <v>377000</v>
      </c>
      <c r="E57">
        <f>SUMIF(F3:F52,B57,(P3:P52))</f>
        <v>43490</v>
      </c>
      <c r="F57">
        <f t="shared" ref="F57:F59" si="0">SUMIF(F3:F52,B57,(V3:V52))</f>
        <v>25</v>
      </c>
      <c r="G57" s="11"/>
      <c r="I57">
        <f>COUNTIFS(F3:F52,Table1[[#This Row],[Department]],R3:R52,#REF!)</f>
        <v>0</v>
      </c>
    </row>
    <row r="58" spans="1:23" x14ac:dyDescent="0.3">
      <c r="B58" t="s">
        <v>63</v>
      </c>
      <c r="C58">
        <f>COUNTIF(F4:F53,"Finance")</f>
        <v>8</v>
      </c>
      <c r="D58">
        <f>SUMIF(F4:F53,B58,(N4:N53))</f>
        <v>572000</v>
      </c>
      <c r="E58">
        <f t="shared" ref="E58:E61" si="1">SUMIF(F4:F53,B58,(P4:P53))</f>
        <v>61580</v>
      </c>
      <c r="F58">
        <f t="shared" si="0"/>
        <v>34</v>
      </c>
      <c r="G58" s="11"/>
      <c r="I58">
        <f>COUNTIFS(F4:F53,Table1[[#This Row],[Department]],R4:R53,#REF!)</f>
        <v>0</v>
      </c>
    </row>
    <row r="59" spans="1:23" x14ac:dyDescent="0.3">
      <c r="B59" t="s">
        <v>12</v>
      </c>
      <c r="C59">
        <f>COUNTIF(F5:F54,"Sales")</f>
        <v>7</v>
      </c>
      <c r="D59">
        <f t="shared" ref="D59" si="2">SUMIF(F5:F54,B59,(N5:N54))</f>
        <v>450000</v>
      </c>
      <c r="E59">
        <f t="shared" si="1"/>
        <v>45240</v>
      </c>
      <c r="F59">
        <f t="shared" si="0"/>
        <v>26</v>
      </c>
      <c r="G59" s="11"/>
      <c r="I59">
        <f>COUNTIFS(F5:F54,Table1[[#This Row],[Department]],R5:R54,#REF!)</f>
        <v>0</v>
      </c>
    </row>
    <row r="60" spans="1:23" x14ac:dyDescent="0.3">
      <c r="B60" t="s">
        <v>100</v>
      </c>
      <c r="C60">
        <f>COUNTIF(F6:F55,"Operations")</f>
        <v>6</v>
      </c>
      <c r="D60">
        <f ca="1">SUMIF(F6:F55,B60,(N6:N54))</f>
        <v>376000</v>
      </c>
      <c r="E60">
        <f t="shared" si="1"/>
        <v>37030</v>
      </c>
      <c r="F60">
        <f>SUMIF(F6:F53,B60,(V6:V55))</f>
        <v>25</v>
      </c>
      <c r="G60" s="11"/>
      <c r="I60" t="e">
        <f>COUNTIFS(F6:F55,Table1[[#This Row],[Department]],R6:R54,#REF!)</f>
        <v>#VALUE!</v>
      </c>
    </row>
    <row r="61" spans="1:23" x14ac:dyDescent="0.3">
      <c r="B61" t="s">
        <v>11</v>
      </c>
      <c r="C61">
        <f>COUNTIF(F7:F56,B61)</f>
        <v>5</v>
      </c>
      <c r="D61">
        <f ca="1">SUMIF(F7:F56,B61,(N7:N54))</f>
        <v>351000</v>
      </c>
      <c r="E61">
        <f t="shared" si="1"/>
        <v>42560</v>
      </c>
      <c r="F61">
        <f>SUMIF(F7:F54,B61,(V7:V56))</f>
        <v>23</v>
      </c>
      <c r="G61" s="11"/>
      <c r="I61">
        <f>COUNTIFS(F7:F56,Table1[[#This Row],[Department]],R7:R56,#REF!)</f>
        <v>0</v>
      </c>
    </row>
    <row r="62" spans="1:23" x14ac:dyDescent="0.3">
      <c r="B62" t="s">
        <v>311</v>
      </c>
      <c r="C62">
        <f>SUM(C56:C61)</f>
        <v>50</v>
      </c>
      <c r="D62">
        <f ca="1">SUM(D56:D61)</f>
        <v>3561000</v>
      </c>
      <c r="E62">
        <f>SUM(E56:E61)</f>
        <v>413810</v>
      </c>
      <c r="F62">
        <f>SUM(F56:F61)</f>
        <v>235</v>
      </c>
      <c r="G62" s="11"/>
    </row>
    <row r="65" spans="2:11" x14ac:dyDescent="0.3">
      <c r="B65" s="13" t="s">
        <v>18</v>
      </c>
      <c r="C65" s="14" t="s">
        <v>41</v>
      </c>
      <c r="D65" t="s">
        <v>66</v>
      </c>
      <c r="E65" t="s">
        <v>59</v>
      </c>
      <c r="J65" s="12" t="s">
        <v>18</v>
      </c>
      <c r="K65" t="s">
        <v>328</v>
      </c>
    </row>
    <row r="66" spans="2:11" x14ac:dyDescent="0.3">
      <c r="B66" s="16" t="s">
        <v>39</v>
      </c>
      <c r="C66" s="17">
        <f>COUNTIFS(F2:F51,B66,J2:J51,"Hybrid")</f>
        <v>9</v>
      </c>
      <c r="D66" s="17">
        <f>COUNTIFS(F2:F51,"IT",J2:J51,"Office")</f>
        <v>3</v>
      </c>
      <c r="E66">
        <f>COUNTIFS(F2:F51,B66,J2:J51,"Remote")</f>
        <v>6</v>
      </c>
      <c r="J66" s="15" t="s">
        <v>327</v>
      </c>
      <c r="K66">
        <f>X2</f>
        <v>16</v>
      </c>
    </row>
    <row r="67" spans="2:11" x14ac:dyDescent="0.3">
      <c r="B67" s="19" t="s">
        <v>50</v>
      </c>
      <c r="C67" s="17">
        <f t="shared" ref="C67:C71" si="3">COUNTIFS(F3:F52,B67,J3:J52,"Hybrid")</f>
        <v>4</v>
      </c>
      <c r="D67" s="17">
        <f>COUNTIFS(F3:F52,B67,J3:J52,"Office")</f>
        <v>1</v>
      </c>
      <c r="E67">
        <f t="shared" ref="E67:E71" si="4">COUNTIFS(F3:F52,B67,J3:J52,"Remote")</f>
        <v>1</v>
      </c>
      <c r="J67" s="18"/>
    </row>
    <row r="68" spans="2:11" x14ac:dyDescent="0.3">
      <c r="B68" s="16" t="s">
        <v>63</v>
      </c>
      <c r="C68" s="17">
        <f t="shared" si="3"/>
        <v>1</v>
      </c>
      <c r="D68" s="17">
        <f t="shared" ref="D68:D71" si="5">COUNTIFS(F4:F53,B68,J4:J53,"Office")</f>
        <v>7</v>
      </c>
      <c r="E68">
        <f t="shared" si="4"/>
        <v>0</v>
      </c>
      <c r="J68" s="15"/>
    </row>
    <row r="69" spans="2:11" x14ac:dyDescent="0.3">
      <c r="B69" s="19" t="s">
        <v>12</v>
      </c>
      <c r="C69" s="17">
        <f t="shared" si="3"/>
        <v>4</v>
      </c>
      <c r="D69" s="17">
        <f t="shared" si="5"/>
        <v>3</v>
      </c>
      <c r="E69">
        <f t="shared" si="4"/>
        <v>0</v>
      </c>
      <c r="J69" s="18"/>
    </row>
    <row r="70" spans="2:11" x14ac:dyDescent="0.3">
      <c r="B70" s="16" t="s">
        <v>100</v>
      </c>
      <c r="C70" s="17">
        <f t="shared" si="3"/>
        <v>3</v>
      </c>
      <c r="D70" s="17">
        <f t="shared" si="5"/>
        <v>3</v>
      </c>
      <c r="E70">
        <f t="shared" si="4"/>
        <v>0</v>
      </c>
      <c r="J70" s="15"/>
    </row>
    <row r="71" spans="2:11" x14ac:dyDescent="0.3">
      <c r="B71" s="19" t="s">
        <v>11</v>
      </c>
      <c r="C71" s="17">
        <f t="shared" si="3"/>
        <v>2</v>
      </c>
      <c r="D71" s="17">
        <f t="shared" si="5"/>
        <v>0</v>
      </c>
      <c r="E71">
        <f t="shared" si="4"/>
        <v>3</v>
      </c>
      <c r="J71" s="18"/>
    </row>
    <row r="72" spans="2:11" x14ac:dyDescent="0.3">
      <c r="B72" s="16" t="s">
        <v>311</v>
      </c>
      <c r="C72" s="17">
        <f>SUM(C66:C71)</f>
        <v>23</v>
      </c>
      <c r="D72" s="17">
        <f>SUM(D66:D71)</f>
        <v>17</v>
      </c>
      <c r="E72">
        <f>SUM(E66:E71)</f>
        <v>10</v>
      </c>
      <c r="J72" s="15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Dashboards</vt:lpstr>
      <vt:lpstr>Cell referencing</vt:lpstr>
      <vt:lpstr>Sheet5</vt:lpstr>
      <vt:lpstr>Sheet6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Santhoashi G</dc:creator>
  <cp:keywords/>
  <dc:description/>
  <cp:lastModifiedBy>santho lakshmi</cp:lastModifiedBy>
  <cp:revision/>
  <dcterms:created xsi:type="dcterms:W3CDTF">2026-09-26T05:00:26Z</dcterms:created>
  <dcterms:modified xsi:type="dcterms:W3CDTF">2026-09-26T10:59:04Z</dcterms:modified>
  <cp:category/>
  <cp:contentStatus/>
</cp:coreProperties>
</file>